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<sst xmlns="http://schemas.openxmlformats.org/spreadsheetml/2006/main" count="762" uniqueCount="529">
  <si>
    <t>IME West 2023</t>
  </si>
  <si>
    <t>TK Mold Shenzhen Ltd.</t>
  </si>
  <si>
    <t>Lead Id</t>
  </si>
  <si>
    <t>Device Name</t>
  </si>
  <si>
    <t>Booth</t>
  </si>
  <si>
    <t>Hall</t>
  </si>
  <si>
    <t>Temperature</t>
  </si>
  <si>
    <t>Badge Id</t>
  </si>
  <si>
    <t>Scan Date</t>
  </si>
  <si>
    <t>Prefix</t>
  </si>
  <si>
    <t>First Name</t>
  </si>
  <si>
    <t>Middle Name</t>
  </si>
  <si>
    <t>Last Name</t>
  </si>
  <si>
    <t>Suffix</t>
  </si>
  <si>
    <t>Title</t>
  </si>
  <si>
    <t>Company</t>
  </si>
  <si>
    <t>Division</t>
  </si>
  <si>
    <t>Address 1</t>
  </si>
  <si>
    <t>Address 2</t>
  </si>
  <si>
    <t>Address 3</t>
  </si>
  <si>
    <t>City</t>
  </si>
  <si>
    <t>State</t>
  </si>
  <si>
    <t>Zip/Postal Code</t>
  </si>
  <si>
    <t>Country</t>
  </si>
  <si>
    <t>Tel Country Code</t>
  </si>
  <si>
    <t>Phone Office</t>
  </si>
  <si>
    <t>Phone Mobile</t>
  </si>
  <si>
    <t>Phone Fax</t>
  </si>
  <si>
    <t>Email</t>
  </si>
  <si>
    <t>URL</t>
  </si>
  <si>
    <t>Notes</t>
  </si>
  <si>
    <t>Last Update Date</t>
  </si>
  <si>
    <t>Alexandra Mu</t>
  </si>
  <si>
    <t>Stephanie</t>
  </si>
  <si>
    <t>White</t>
  </si>
  <si>
    <t>Commodity Manager</t>
  </si>
  <si>
    <t>Beckman Coulter</t>
  </si>
  <si>
    <t>250 S Kraemer Blvd</t>
  </si>
  <si>
    <t>Brea</t>
  </si>
  <si>
    <t>California</t>
  </si>
  <si>
    <t>US</t>
  </si>
  <si>
    <t>smwhite@beckman.com</t>
  </si>
  <si>
    <t>Total solution</t>
  </si>
  <si>
    <t>left voicemail, no answer. Sent follow-up email.</t>
  </si>
  <si>
    <t>Roberto</t>
  </si>
  <si>
    <t>Pizano</t>
  </si>
  <si>
    <t>Category Manager</t>
  </si>
  <si>
    <t>Philips Healthcare</t>
  </si>
  <si>
    <t>Av. Parque BCN 481-4</t>
  </si>
  <si>
    <t>Tijuana</t>
  </si>
  <si>
    <t>MX</t>
  </si>
  <si>
    <t>(664) 3174598</t>
  </si>
  <si>
    <t>roberto.pizano@philips.com</t>
  </si>
  <si>
    <t>Tooling only</t>
  </si>
  <si>
    <t>DANIEL</t>
  </si>
  <si>
    <t>ALCANTAR</t>
  </si>
  <si>
    <t>GLOBAL SUPPLIER ACCOUNT MANAGER</t>
  </si>
  <si>
    <t>PHILIPS</t>
  </si>
  <si>
    <t>daniel.alcantarcortes@philips.com</t>
  </si>
  <si>
    <t>daniel_alcantar97@hotmail.com</t>
  </si>
  <si>
    <t>Guaymas</t>
  </si>
  <si>
    <t>Spoke with Daniel. No new launches currently. Sent follow-up email with company ppt. as requested.</t>
  </si>
  <si>
    <t>Venkat</t>
  </si>
  <si>
    <t>Reddy</t>
  </si>
  <si>
    <t>Director of Procurement</t>
  </si>
  <si>
    <t>19005 Chaumont Way</t>
  </si>
  <si>
    <t>Northville</t>
  </si>
  <si>
    <t>Michigan</t>
  </si>
  <si>
    <t>Venkat.reddy@philips.com</t>
  </si>
  <si>
    <t>Cleve</t>
  </si>
  <si>
    <t>Hardcastle</t>
  </si>
  <si>
    <t>New Business Development- Tooling</t>
  </si>
  <si>
    <t>Custom Mold &amp; Design</t>
  </si>
  <si>
    <t>22455 Everton Ave N</t>
  </si>
  <si>
    <t>Forest Lake</t>
  </si>
  <si>
    <t>Minnesota</t>
  </si>
  <si>
    <t>chardcastle@custommold.net</t>
  </si>
  <si>
    <t>Maron Mold
 Pomona,CA</t>
  </si>
  <si>
    <t>Nicole</t>
  </si>
  <si>
    <t>van Triel</t>
  </si>
  <si>
    <t>Business Development</t>
  </si>
  <si>
    <t>Freudenberg Medical</t>
  </si>
  <si>
    <t>1110 Mark Avenue</t>
  </si>
  <si>
    <t>Carpinteria</t>
  </si>
  <si>
    <t>nicole.vantriel@freudenbergmedical.com</t>
  </si>
  <si>
    <t>Spoke with Nicole. Had a good conversation. She requested I send her the company ppt per her request.</t>
  </si>
  <si>
    <t>Dino</t>
  </si>
  <si>
    <t>Ventre</t>
  </si>
  <si>
    <t>Business Development Manager</t>
  </si>
  <si>
    <t>Tessy Plastics Corporation</t>
  </si>
  <si>
    <t>700 Visions Drive</t>
  </si>
  <si>
    <t>Skaneateles</t>
  </si>
  <si>
    <t>New York</t>
  </si>
  <si>
    <t>dventre@tessy.com</t>
  </si>
  <si>
    <t>Mobile phone not in service. Called office, Dino is no longer employed by Tessy.</t>
  </si>
  <si>
    <t>John</t>
  </si>
  <si>
    <t>Bader</t>
  </si>
  <si>
    <t>Director Business Development</t>
  </si>
  <si>
    <t>Superior Felt &amp; Filtration LLC</t>
  </si>
  <si>
    <t>1150 Ridgeway Drive</t>
  </si>
  <si>
    <t>McHenry</t>
  </si>
  <si>
    <t>Illinois</t>
  </si>
  <si>
    <t>jbader@superiorfelt.com</t>
  </si>
  <si>
    <t>Dr. Marcus</t>
  </si>
  <si>
    <t>Emmel</t>
  </si>
  <si>
    <t>CTO</t>
  </si>
  <si>
    <t>Bosch Advanced Ceramics</t>
  </si>
  <si>
    <t>Robert-Bosch-Straße 1</t>
  </si>
  <si>
    <t>Immenstadt</t>
  </si>
  <si>
    <t>DE</t>
  </si>
  <si>
    <t>marcus.emmel@bosch.com</t>
  </si>
  <si>
    <t>Thomas TK Mold</t>
  </si>
  <si>
    <t>Laura</t>
  </si>
  <si>
    <t>Albarran</t>
  </si>
  <si>
    <t>President</t>
  </si>
  <si>
    <t>Industrias Plasticas Medicas</t>
  </si>
  <si>
    <t>Eduardo Pallares y Portillo 107</t>
  </si>
  <si>
    <t>Parque San Andres, Coyoacan</t>
  </si>
  <si>
    <t>Mexico</t>
  </si>
  <si>
    <t>direccion@ipm.mx</t>
  </si>
  <si>
    <t xml:space="preserve">Spoke to Laura briefly as she was in a meeting. She requested I send her our company ppt via email which I did. </t>
  </si>
  <si>
    <t>Aron</t>
  </si>
  <si>
    <t>Haber</t>
  </si>
  <si>
    <t>Sales Manager</t>
  </si>
  <si>
    <t>Gerresheimer Peachtree City (USA), L.P.</t>
  </si>
  <si>
    <t>650 Highway 74 South</t>
  </si>
  <si>
    <t>Peachtree City</t>
  </si>
  <si>
    <t>Georgia</t>
  </si>
  <si>
    <t>aron.haber@gerresheimer.com</t>
  </si>
  <si>
    <t xml:space="preserve">left voicemail with Aron. Sent follow-up email. </t>
  </si>
  <si>
    <t>Juergen</t>
  </si>
  <si>
    <t>Kaiser</t>
  </si>
  <si>
    <t>Global Vice President Sales Diagnostics and Medical Technology</t>
  </si>
  <si>
    <t>juergen.kaiser@gerresheimer.com</t>
  </si>
  <si>
    <t>Tony</t>
  </si>
  <si>
    <t>Parakka</t>
  </si>
  <si>
    <t>Field Application Engiineer</t>
  </si>
  <si>
    <t>TE Connectivity</t>
  </si>
  <si>
    <t>10026 SW Freeman Dr.</t>
  </si>
  <si>
    <t>Wilsonville</t>
  </si>
  <si>
    <t>Oregon</t>
  </si>
  <si>
    <t>tony.parakka@te.com</t>
  </si>
  <si>
    <t>Erwes</t>
  </si>
  <si>
    <t>Manager</t>
  </si>
  <si>
    <t>Erwes Reifenberg GmbH &amp; Co. KG</t>
  </si>
  <si>
    <t>An der Eichert 2</t>
  </si>
  <si>
    <t>Finnentrop</t>
  </si>
  <si>
    <t>j.erwes@erwes-reifenberg.de</t>
  </si>
  <si>
    <t>Jake</t>
  </si>
  <si>
    <t>Sales Engineer</t>
  </si>
  <si>
    <t>Phillips-Medisize, LLC, a Molex Company</t>
  </si>
  <si>
    <t>1201 Hanley Road</t>
  </si>
  <si>
    <t>Hudson</t>
  </si>
  <si>
    <t>Wisconsin</t>
  </si>
  <si>
    <t>jake.aron@molex.com</t>
  </si>
  <si>
    <t>，，，，，，嗯</t>
  </si>
  <si>
    <t>Ralph</t>
  </si>
  <si>
    <t>Nolan</t>
  </si>
  <si>
    <t>VP, Global Engineering &amp; Development</t>
  </si>
  <si>
    <t>Technimark, LLC.</t>
  </si>
  <si>
    <t>180 Commerce Place</t>
  </si>
  <si>
    <t>Asheboro</t>
  </si>
  <si>
    <t>North Carolina</t>
  </si>
  <si>
    <t>rnolan@technimark.com</t>
  </si>
  <si>
    <t>Cory</t>
  </si>
  <si>
    <t>Price</t>
  </si>
  <si>
    <t>Director Technical Solutions</t>
  </si>
  <si>
    <t>Viant</t>
  </si>
  <si>
    <t>2 Hampshire St</t>
  </si>
  <si>
    <t>Foxborough</t>
  </si>
  <si>
    <t>Massachusetts</t>
  </si>
  <si>
    <t>Cory.Price@viantmedical.com</t>
  </si>
  <si>
    <t>10 molding factories. He will give our mold brochure to their colleagues in charge of molds. They have mould suppliers in Shenzhen.</t>
  </si>
  <si>
    <t>Hugh</t>
  </si>
  <si>
    <t>Fred</t>
  </si>
  <si>
    <t>Tam</t>
  </si>
  <si>
    <t>Senior Application Engineer</t>
  </si>
  <si>
    <t>Datatronics Romoland Inc</t>
  </si>
  <si>
    <t>28151 Highway 74</t>
  </si>
  <si>
    <t>Menifee</t>
  </si>
  <si>
    <t>951-9287700</t>
  </si>
  <si>
    <t>ftam@datatronics.com</t>
  </si>
  <si>
    <t>Ignore 
 No need to follow up</t>
  </si>
  <si>
    <t>Joe</t>
  </si>
  <si>
    <t>Wilson</t>
  </si>
  <si>
    <t>Strategic Account Manager</t>
  </si>
  <si>
    <t>Joseph.Wilson@viantmedical.com</t>
  </si>
  <si>
    <t>Cold Lead</t>
  </si>
  <si>
    <t>Valenzano</t>
  </si>
  <si>
    <t>Account Manager</t>
  </si>
  <si>
    <t>Wise Plastics Technologies</t>
  </si>
  <si>
    <t>3810 Stern Avenue</t>
  </si>
  <si>
    <t>St Charles</t>
  </si>
  <si>
    <t>joe.valenzano@wiseplastics.com</t>
  </si>
  <si>
    <t>Existing customer 
 Looking for Alexandra</t>
  </si>
  <si>
    <t>Josh</t>
  </si>
  <si>
    <t>Gibbs</t>
  </si>
  <si>
    <t>Mechanical Engineer</t>
  </si>
  <si>
    <t>TZ Medical Inc</t>
  </si>
  <si>
    <t>20497 SW Teton Ave Suite A</t>
  </si>
  <si>
    <t>Portland</t>
  </si>
  <si>
    <t>jgibbs@tzmedical.com</t>
  </si>
  <si>
    <t>syring needed.</t>
  </si>
  <si>
    <t>Alexandra</t>
  </si>
  <si>
    <t>Mu</t>
  </si>
  <si>
    <t>Marketing Director</t>
  </si>
  <si>
    <t>TK Mold (Shenzhen) Ltd.</t>
  </si>
  <si>
    <t>Baoan District</t>
  </si>
  <si>
    <t>Tangjia Village</t>
  </si>
  <si>
    <t>Shenzhen, Guandong</t>
  </si>
  <si>
    <t>ydmou@tkmold.com</t>
  </si>
  <si>
    <t>Warm Lead</t>
  </si>
  <si>
    <t>Conor</t>
  </si>
  <si>
    <t>McPeake</t>
  </si>
  <si>
    <t>Sr Sourcing Manager - Plastics</t>
  </si>
  <si>
    <t>GE Healthcare</t>
  </si>
  <si>
    <t>5529 E Windrose Dr</t>
  </si>
  <si>
    <t>Scottsdale</t>
  </si>
  <si>
    <t>Arizona</t>
  </si>
  <si>
    <t>conor.mcpeake@ge.com</t>
  </si>
  <si>
    <t>Bigger parts for equipment</t>
  </si>
  <si>
    <t>Bret</t>
  </si>
  <si>
    <t>Fox</t>
  </si>
  <si>
    <t>R&amp;D</t>
  </si>
  <si>
    <t>RAUMEDIC, Inc.</t>
  </si>
  <si>
    <t>235 Broadpointe Dr</t>
  </si>
  <si>
    <t>Mills River</t>
  </si>
  <si>
    <t>bret.fox@raumedic.com</t>
  </si>
  <si>
    <t>Buy mold in US he has experience from China send information</t>
  </si>
  <si>
    <t>Kirk</t>
  </si>
  <si>
    <t>Jackson</t>
  </si>
  <si>
    <t>Commodity Business Manager</t>
  </si>
  <si>
    <t>Cepheid</t>
  </si>
  <si>
    <t>2988 Westview Ct</t>
  </si>
  <si>
    <t>Fallbrook</t>
  </si>
  <si>
    <t>kirk.jackson@cepheid.com</t>
  </si>
  <si>
    <t>Sam</t>
  </si>
  <si>
    <t>Underwood</t>
  </si>
  <si>
    <t>Plastics &amp; Automation Consulting Engineer</t>
  </si>
  <si>
    <t>IBC Plastic Services</t>
  </si>
  <si>
    <t>2231 Old Barn Ln</t>
  </si>
  <si>
    <t>Chula Vista</t>
  </si>
  <si>
    <t>samu@cox.net</t>
  </si>
  <si>
    <t>Mike</t>
  </si>
  <si>
    <t>Croxton</t>
  </si>
  <si>
    <t>Canon Virginia, Inc.</t>
  </si>
  <si>
    <t>12000 Canon Boulevard</t>
  </si>
  <si>
    <t>Newport News</t>
  </si>
  <si>
    <t>Virginia</t>
  </si>
  <si>
    <t>mcroxton@cvi.canon.com</t>
  </si>
  <si>
    <t>have been to China several times. He like China</t>
  </si>
  <si>
    <t>Randy</t>
  </si>
  <si>
    <t>Linsalato</t>
  </si>
  <si>
    <t>CEO</t>
  </si>
  <si>
    <t>MECOA</t>
  </si>
  <si>
    <t>16015 Adelante St</t>
  </si>
  <si>
    <t>Irwindale</t>
  </si>
  <si>
    <t>mecoa@att.net</t>
  </si>
  <si>
    <t>consumer products. 6 injection molding machines</t>
  </si>
  <si>
    <t>Jennifer</t>
  </si>
  <si>
    <t>Platt</t>
  </si>
  <si>
    <t>Commodity Specialist</t>
  </si>
  <si>
    <t>Bio-Rad Laboratories</t>
  </si>
  <si>
    <t>875 Alfred Nobel Drive</t>
  </si>
  <si>
    <t>Hercules</t>
  </si>
  <si>
    <t>Jennifer_platt@bio-rad.com</t>
  </si>
  <si>
    <t>Hugh customer nothing we can do right now</t>
  </si>
  <si>
    <t>Rohao</t>
  </si>
  <si>
    <t>Chao</t>
  </si>
  <si>
    <t>Director</t>
  </si>
  <si>
    <t>GMAX Industries, Inc.</t>
  </si>
  <si>
    <t>2150 Joshua's Path</t>
  </si>
  <si>
    <t>Suite 205</t>
  </si>
  <si>
    <t>Hauppauge</t>
  </si>
  <si>
    <t>516-757-8695</t>
  </si>
  <si>
    <t>rohao.chao@gmaxind.com</t>
  </si>
  <si>
    <t>There is a factory in Suzhou, and the mold of a container project is old and needs to be remade. We will also consider looking for a new injection molding factory to produce together. Products are sold in the United States.
 Add wechat.</t>
  </si>
  <si>
    <t>Kaveh</t>
  </si>
  <si>
    <t>SOOFER</t>
  </si>
  <si>
    <t>Executive VP</t>
  </si>
  <si>
    <t>Plastikon Industries</t>
  </si>
  <si>
    <t>688 Sandoval Way</t>
  </si>
  <si>
    <t>Hayward</t>
  </si>
  <si>
    <t>kdsoofer@plastikon.com</t>
  </si>
  <si>
    <t>The son of the founder of Plastikon</t>
  </si>
  <si>
    <t>Jason</t>
  </si>
  <si>
    <t>Brayshaw</t>
  </si>
  <si>
    <t>Product Engineer</t>
  </si>
  <si>
    <t>Lisi Aerospace</t>
  </si>
  <si>
    <t>16728 Gale Ave</t>
  </si>
  <si>
    <t>City of Industry</t>
  </si>
  <si>
    <t>jason.brayshaw@lisi-group.com</t>
  </si>
  <si>
    <t>Will we visit this company?</t>
  </si>
  <si>
    <t>Susan</t>
  </si>
  <si>
    <t>Sheng</t>
  </si>
  <si>
    <t>KB Medical Group</t>
  </si>
  <si>
    <t>9650 Research Drive</t>
  </si>
  <si>
    <t>Suite A</t>
  </si>
  <si>
    <t>Irvine</t>
  </si>
  <si>
    <t>susan.s@kbmed.com</t>
  </si>
  <si>
    <t>Company produce infusion sets； She purchase tooling from China. They have molding factory in South China. Please contact us for further action.</t>
  </si>
  <si>
    <t>Luis</t>
  </si>
  <si>
    <t>Fragua</t>
  </si>
  <si>
    <t>Regional Commodity Manager</t>
  </si>
  <si>
    <t>Plexus Corporation</t>
  </si>
  <si>
    <t>Av. Guadalupe 920-C</t>
  </si>
  <si>
    <t>Guadalajara Technology Park</t>
  </si>
  <si>
    <t>Zapopan</t>
  </si>
  <si>
    <t>luis.fragua@plexus.com</t>
  </si>
  <si>
    <t>Automation supplier. Want to do turnkey solution</t>
  </si>
  <si>
    <t>Todd</t>
  </si>
  <si>
    <t>Cumming</t>
  </si>
  <si>
    <t>Operations Manager</t>
  </si>
  <si>
    <t>Caig Laboratories</t>
  </si>
  <si>
    <t>12200 thatcher ct.</t>
  </si>
  <si>
    <t>Poway</t>
  </si>
  <si>
    <t>twc@caig.com</t>
  </si>
  <si>
    <t>Pre-filled syringe。 not big volume</t>
  </si>
  <si>
    <t>Gamaliel</t>
  </si>
  <si>
    <t>Lopez Cervera</t>
  </si>
  <si>
    <t>Scientist 1 - Lyophilization R&amp;D</t>
  </si>
  <si>
    <t>Argonaut Manufacturing Services</t>
  </si>
  <si>
    <t>1442 autumn woods pl.</t>
  </si>
  <si>
    <t>escondido</t>
  </si>
  <si>
    <t>gcervera@argonautms.com</t>
  </si>
  <si>
    <t>Product development firm. Has a need now and will send details to Alexandra. One of Hugh’s pd firm targets</t>
  </si>
  <si>
    <t>Hot Lead</t>
  </si>
  <si>
    <t>Bushan</t>
  </si>
  <si>
    <t>Purushothaman</t>
  </si>
  <si>
    <t>Sr Materials Manager</t>
  </si>
  <si>
    <t>Medtronic</t>
  </si>
  <si>
    <t>1512 Contessa</t>
  </si>
  <si>
    <t>bushan.k.purushothaman@medtronic.com</t>
  </si>
  <si>
    <t>this guy is in material sourcing he may know the right person to contact for mold or molding medtronic is not close with the moldmaker this is managed buy the tier one supplier. We can contact him to find contact person for molding.</t>
  </si>
  <si>
    <t>Daniel</t>
  </si>
  <si>
    <t>Frohwein</t>
  </si>
  <si>
    <t>Turë</t>
  </si>
  <si>
    <t>9325 Southern Breeze Drive</t>
  </si>
  <si>
    <t>Orlando</t>
  </si>
  <si>
    <t>Florida</t>
  </si>
  <si>
    <t>321-297-5879</t>
  </si>
  <si>
    <t>tureenow@gmail.com</t>
  </si>
  <si>
    <t>Inventor</t>
  </si>
  <si>
    <t>Erica</t>
  </si>
  <si>
    <t>Chin</t>
  </si>
  <si>
    <t>Mendaera</t>
  </si>
  <si>
    <t>803 American St</t>
  </si>
  <si>
    <t>San Carlos</t>
  </si>
  <si>
    <t>erica.chin@mendaera.com</t>
  </si>
  <si>
    <t>Low volume start
 Total solution 
 Will send details for a part</t>
  </si>
  <si>
    <t>Antoine</t>
  </si>
  <si>
    <t>Jauregui</t>
  </si>
  <si>
    <t>ipmedica@yahoo.com</t>
  </si>
  <si>
    <t>Catheter</t>
  </si>
  <si>
    <t>Richard</t>
  </si>
  <si>
    <t>Summers</t>
  </si>
  <si>
    <t>Senior Project Lead, Research and Development</t>
  </si>
  <si>
    <t>New World Medical</t>
  </si>
  <si>
    <t>10763 Edison Court</t>
  </si>
  <si>
    <t>Rancho Cucamonga</t>
  </si>
  <si>
    <t>rsummers@newworldmedical.com</t>
  </si>
  <si>
    <t>Catheter mold send information on the mold</t>
  </si>
  <si>
    <t>Paul</t>
  </si>
  <si>
    <t>Kelton</t>
  </si>
  <si>
    <t>Strategic Buyer</t>
  </si>
  <si>
    <t>Radiometer</t>
  </si>
  <si>
    <t>1945 Palomar Oaks Way</t>
  </si>
  <si>
    <t>Carlsbad</t>
  </si>
  <si>
    <t>619-635-4417</t>
  </si>
  <si>
    <t>760-603-3469</t>
  </si>
  <si>
    <t>paul.kelton@sendx.com</t>
  </si>
  <si>
    <t>Great opportunity 
 Part of Danaher
 Total solution 
 Looking for new suppliers</t>
  </si>
  <si>
    <t>Kelvin</t>
  </si>
  <si>
    <t>Nelder</t>
  </si>
  <si>
    <t>MinebeaMitsumi</t>
  </si>
  <si>
    <t>101 SWIFT RIVER DR</t>
  </si>
  <si>
    <t>FOLSOM</t>
  </si>
  <si>
    <t>knelder@nmbtc.com</t>
  </si>
  <si>
    <t>sensing solution</t>
  </si>
  <si>
    <t>Thomas</t>
  </si>
  <si>
    <t>Bergstrom</t>
  </si>
  <si>
    <t>Sr. Mold Consultant</t>
  </si>
  <si>
    <t>thomasbergstrom@tkmold.com</t>
  </si>
  <si>
    <t>Mauricio</t>
  </si>
  <si>
    <t>Reyes Cervantes</t>
  </si>
  <si>
    <t>Hemoquid</t>
  </si>
  <si>
    <t>asistente.direccion@gifyt.com.mx</t>
  </si>
  <si>
    <t>mauricio_reyes@gifyt.com.mx</t>
  </si>
  <si>
    <t>mexico</t>
  </si>
  <si>
    <t>Wants completed finished product syringe</t>
  </si>
  <si>
    <t>Klint</t>
  </si>
  <si>
    <t>Thornton</t>
  </si>
  <si>
    <t>Product Manager</t>
  </si>
  <si>
    <t>LISI Aerospace</t>
  </si>
  <si>
    <t>16728 E. Gale Avenue</t>
  </si>
  <si>
    <t>klint.thornton@lisi-group.com</t>
  </si>
  <si>
    <t>Current customer for tools</t>
  </si>
  <si>
    <t>Otto</t>
  </si>
  <si>
    <t>Andeehub</t>
  </si>
  <si>
    <t>Engineering</t>
  </si>
  <si>
    <t>DemeTECH Corporation</t>
  </si>
  <si>
    <t>5980 Miami Lakes Dr</t>
  </si>
  <si>
    <t>Hialeah</t>
  </si>
  <si>
    <t>otto.anderhub@demetch.us</t>
  </si>
  <si>
    <t>Tooling only. Use high end machines for molding. Need blood collection and other parts</t>
  </si>
  <si>
    <t>Steve</t>
  </si>
  <si>
    <t>Obey</t>
  </si>
  <si>
    <t>Impulse Medical Technologies, Inc.</t>
  </si>
  <si>
    <t>PO Box 188</t>
  </si>
  <si>
    <t>Enumclaw</t>
  </si>
  <si>
    <t>Washington</t>
  </si>
  <si>
    <t>steve@electrodestore.com</t>
  </si>
  <si>
    <t>Want total solution a small company</t>
  </si>
  <si>
    <t>Minglai</t>
  </si>
  <si>
    <t>Wang</t>
  </si>
  <si>
    <t>BrosMed Medical Co., Ltd.</t>
  </si>
  <si>
    <t>15th Building, SMEs Venture Park</t>
  </si>
  <si>
    <t>SongShan Lake Hi-Tech Development Zone</t>
  </si>
  <si>
    <t>Dongguan, Guangdong</t>
  </si>
  <si>
    <t>CN</t>
  </si>
  <si>
    <t>marvin@brosmed.com</t>
  </si>
  <si>
    <t>Alexandra’s customer</t>
  </si>
  <si>
    <t>Seth</t>
  </si>
  <si>
    <t>Kazarians</t>
  </si>
  <si>
    <t>Principal Engineer and Owner</t>
  </si>
  <si>
    <t>SK Electronics Consulting LLC</t>
  </si>
  <si>
    <t>2555 E Colorado Blvd</t>
  </si>
  <si>
    <t>Suite 302</t>
  </si>
  <si>
    <t>Pasadena</t>
  </si>
  <si>
    <t>seth@kazarians.dev</t>
  </si>
  <si>
    <t>Minh</t>
  </si>
  <si>
    <t>Hoang</t>
  </si>
  <si>
    <t>VP R&amp;D</t>
  </si>
  <si>
    <t>Curon Medical Company</t>
  </si>
  <si>
    <t>204 Emerald Vista Way</t>
  </si>
  <si>
    <t>Las Vegas</t>
  </si>
  <si>
    <t>Nevada</t>
  </si>
  <si>
    <t>702-374-7418</t>
  </si>
  <si>
    <t>minhhoang@curonmed.com</t>
  </si>
  <si>
    <t>Do molding in USA. Alexandra contact</t>
  </si>
  <si>
    <t>James</t>
  </si>
  <si>
    <t>Flinn</t>
  </si>
  <si>
    <t>VP Global Manufacturing Engineering</t>
  </si>
  <si>
    <t>Insulet</t>
  </si>
  <si>
    <t>100 Nagog Park</t>
  </si>
  <si>
    <t>Acton</t>
  </si>
  <si>
    <t>617-513-4166</t>
  </si>
  <si>
    <t>978-600-7400</t>
  </si>
  <si>
    <t>jflinn@insulet.com</t>
  </si>
  <si>
    <t>Kapileswar</t>
  </si>
  <si>
    <t>Swain</t>
  </si>
  <si>
    <t>Vice President</t>
  </si>
  <si>
    <t>Cipla</t>
  </si>
  <si>
    <t>144 church P</t>
  </si>
  <si>
    <t>Kapileswar.swain@cipla.com</t>
  </si>
  <si>
    <t>Good opportunity</t>
  </si>
  <si>
    <t>Song</t>
  </si>
  <si>
    <t>SureMed Technologies, Inc.</t>
  </si>
  <si>
    <t>11254 Bentcreek Rd</t>
  </si>
  <si>
    <t>Moorpark</t>
  </si>
  <si>
    <t>480-227-7533</t>
  </si>
  <si>
    <t>JSong@SureMedtech.com</t>
  </si>
  <si>
    <t>Eugene</t>
  </si>
  <si>
    <t>Barnett</t>
  </si>
  <si>
    <t>Managing Member</t>
  </si>
  <si>
    <t>Advanced Light Devices, LLC</t>
  </si>
  <si>
    <t>5365 Kevin Way</t>
  </si>
  <si>
    <t>89149-3411</t>
  </si>
  <si>
    <t>jim@aldmed.com</t>
  </si>
  <si>
    <t>gene@aldmed.com</t>
  </si>
  <si>
    <t xml:space="preserve">connected with gene, informed me to reach out to Jim Smeriglio. He was currently on the phone but told me to send him an email and he would follow-up with me. Sent email to both Gene and Jim. </t>
  </si>
  <si>
    <t>Nancy</t>
  </si>
  <si>
    <t>Yu</t>
  </si>
  <si>
    <t>GM Engineering LLC</t>
  </si>
  <si>
    <t>minhong_yu@yahoo.com</t>
  </si>
  <si>
    <t xml:space="preserve">Molding medical very interesting buy molds needs follow up (BH) Called and encountered voicemial. Left message. Sent follow-up email. </t>
  </si>
  <si>
    <t>Scott</t>
  </si>
  <si>
    <t>Lolmaugh</t>
  </si>
  <si>
    <t>Staff Quality Assurance, SQE</t>
  </si>
  <si>
    <t>Dexcom</t>
  </si>
  <si>
    <t>1605 E Javelina Cir</t>
  </si>
  <si>
    <t>Mesa</t>
  </si>
  <si>
    <t>scott.lolmaugh@dexcom.com</t>
  </si>
  <si>
    <t xml:space="preserve">Will refer buyers to TK (BH) Called Scott. Encountered his voicemail. His message said that if your phone number is not in his contacts, it will not ring however to leave a message and he will return your call. I sent follow up email as well. </t>
  </si>
  <si>
    <t>Rutul</t>
  </si>
  <si>
    <t>Patel</t>
  </si>
  <si>
    <t>Operations manager</t>
  </si>
  <si>
    <t>Sunplastic manufacturing</t>
  </si>
  <si>
    <t>3277 Newport hwy</t>
  </si>
  <si>
    <t>Sevierville</t>
  </si>
  <si>
    <t>Tennessee</t>
  </si>
  <si>
    <t>rpatel@sunplasticus.com</t>
  </si>
  <si>
    <t xml:space="preserve">Left a voicemail for Mr. Patel. Sent follow-up email. </t>
  </si>
  <si>
    <t>Snider</t>
  </si>
  <si>
    <t>Plant manager</t>
  </si>
  <si>
    <t>sethsnider96@gmail.com</t>
  </si>
  <si>
    <t xml:space="preserve">(BH) Reached Seth at the number ending in 9424. Had a really nice conversation. He no longer works with sunplastics. Now employed by Michelin and works on the software side of the business. He requested I email him our company presentation for him to forwar to his network. </t>
  </si>
  <si>
    <t>Mehrdad</t>
  </si>
  <si>
    <t>Kianian</t>
  </si>
  <si>
    <t>Director of Console operations</t>
  </si>
  <si>
    <t>Bolt Medical</t>
  </si>
  <si>
    <t>5993 Avenida Encinas Suite 100</t>
  </si>
  <si>
    <t>949-378-2148</t>
  </si>
  <si>
    <t>mehrdad@boltmed.com</t>
  </si>
  <si>
    <t xml:space="preserve">Molding and total solution. Hugh will contact the company. (BH) Tried reaching Mehrdad via phone. Left a voicemail and sent follow-up email. </t>
  </si>
  <si>
    <t>David</t>
  </si>
  <si>
    <t>Davidov</t>
  </si>
  <si>
    <t>davidov &amp; co inc</t>
  </si>
  <si>
    <t>140 18 68th road</t>
  </si>
  <si>
    <t>flushing</t>
  </si>
  <si>
    <t>davidovnco@gmail.com</t>
  </si>
  <si>
    <t xml:space="preserve">Design company (BH) Made contact with Dave via phone number ending in 7809. No opportunities at this time. Requested company information and business card to refer to in the future. </t>
  </si>
  <si>
    <t>Martin</t>
  </si>
  <si>
    <t>NA Sales Representative</t>
  </si>
  <si>
    <t>hughmartin@tkmold.com</t>
  </si>
  <si>
    <t>Wallace</t>
  </si>
  <si>
    <t>Senior Injection Molding Engineer</t>
  </si>
  <si>
    <t>Eli Lilly</t>
  </si>
  <si>
    <t>Lilly Corporate Center</t>
  </si>
  <si>
    <t>Mail Stop 3905</t>
  </si>
  <si>
    <t>Indianapolis</t>
  </si>
  <si>
    <t>Indiana</t>
  </si>
  <si>
    <t>j.wallace@lilly.com</t>
  </si>
  <si>
    <t xml:space="preserve">Senior but quite young. (BH) Tried calling Jake. Received busy signal several times. Was unable to leave voicemail. Sent follow-up email. </t>
  </si>
  <si>
    <t>Nate</t>
  </si>
  <si>
    <t>Warfel</t>
  </si>
  <si>
    <t>Associate Director - Injection Molding Engineering</t>
  </si>
  <si>
    <r>
      <rPr>
        <rFont val="Calibri, sans-serif"/>
        <color rgb="FF1155CC"/>
        <sz val="11.0"/>
        <u/>
      </rPr>
      <t>nwarfel@lilly.com</t>
    </r>
  </si>
  <si>
    <t xml:space="preserve">Big medical company molding facilities all around the world. Want more information specially about our after sales service in US. Send more information after exhibition. They asked about our highest cavitation we made I told him 128 cavities. Also asked what kind of plastic material mostly used in our molds. I told him it’s a big variation. (BH) Called and left a voicemail for Nate. Will send follow-up email.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</si>
</sst>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am/pm"/>
    <numFmt numFmtId="165" formatCode="m/d/yyyy"/>
  </numFmts>
  <fonts count="7">
    <font>
      <sz val="10.0"/>
      <color rgb="FF000000"/>
      <name val="Arial"/>
      <scheme val="minor"/>
    </font>
    <font>
      <b/>
      <sz val="20.0"/>
      <color theme="1"/>
      <name val="Calibri"/>
    </font>
    <font/>
    <font>
      <b/>
      <sz val="15.0"/>
      <color theme="1"/>
      <name val="Calibri"/>
    </font>
    <font>
      <b/>
      <sz val="11.0"/>
      <color theme="1"/>
      <name val="Calibri"/>
    </font>
    <font>
      <sz val="11.0"/>
      <color theme="1"/>
      <name val="Calibri"/>
    </font>
    <font>
      <u/>
      <sz val="11.0"/>
      <color rgb="FF0000FF"/>
      <name val="Calibri"/>
    </font>
  </fonts>
  <fills count="4">
    <fill>
      <patternFill patternType="none"/>
    </fill>
    <fill>
      <patternFill patternType="lightGray"/>
    </fill>
    <fill>
      <patternFill patternType="solid">
        <fgColor rgb="FF8497B0"/>
        <bgColor rgb="FF8497B0"/>
      </patternFill>
    </fill>
    <fill>
      <patternFill patternType="solid">
        <fgColor rgb="FFFFFF00"/>
        <bgColor rgb="FFFFFF00"/>
      </patternFill>
    </fill>
  </fills>
  <borders count="15">
    <border/>
    <border>
      <left style="thin">
        <color rgb="FF000000"/>
      </left>
      <top style="thin">
        <color rgb="FF000000"/>
      </top>
      <bottom style="thin">
        <color rgb="FFFFFFFF"/>
      </bottom>
    </border>
    <border>
      <top style="thin">
        <color rgb="FF000000"/>
      </top>
      <bottom style="thin">
        <color rgb="FFFFFFFF"/>
      </bottom>
    </border>
    <border>
      <right style="thin">
        <color rgb="FFFFFFFF"/>
      </right>
      <top style="thin">
        <color rgb="FF000000"/>
      </top>
      <bottom style="thin">
        <color rgb="FFFFFFFF"/>
      </bottom>
    </border>
    <border>
      <left style="thin">
        <color rgb="FF000000"/>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000000"/>
      </left>
      <right style="thin">
        <color rgb="FFFFFFFF"/>
      </right>
      <bottom style="thin">
        <color rgb="FFFFFFFF"/>
      </bottom>
    </border>
    <border>
      <right style="thin">
        <color rgb="FFFFFFFF"/>
      </right>
      <bottom style="thin">
        <color rgb="FFFFFFFF"/>
      </bottom>
    </border>
    <border>
      <right style="thin">
        <color rgb="FF000000"/>
      </right>
      <bottom style="thin">
        <color rgb="FFFFFFFF"/>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readingOrder="0" shrinkToFit="0" wrapText="0"/>
    </xf>
    <xf borderId="2" fillId="0" fontId="2" numFmtId="0" xfId="0" applyBorder="1" applyFont="1"/>
    <xf borderId="3" fillId="0" fontId="2" numFmtId="0" xfId="0" applyBorder="1" applyFont="1"/>
    <xf borderId="4" fillId="2" fontId="3" numFmtId="0" xfId="0" applyAlignment="1" applyBorder="1" applyFont="1">
      <alignment readingOrder="0" shrinkToFit="0" wrapText="0"/>
    </xf>
    <xf borderId="5" fillId="0" fontId="2" numFmtId="0" xfId="0" applyBorder="1" applyFont="1"/>
    <xf borderId="6" fillId="0" fontId="2" numFmtId="0" xfId="0" applyBorder="1" applyFont="1"/>
    <xf borderId="7" fillId="2" fontId="4" numFmtId="0" xfId="0" applyAlignment="1" applyBorder="1" applyFont="1">
      <alignment readingOrder="0" shrinkToFit="0" wrapText="0"/>
    </xf>
    <xf borderId="8" fillId="2" fontId="4" numFmtId="0" xfId="0" applyAlignment="1" applyBorder="1" applyFont="1">
      <alignment readingOrder="0" shrinkToFit="0" wrapText="0"/>
    </xf>
    <xf borderId="8" fillId="3" fontId="4" numFmtId="0" xfId="0" applyAlignment="1" applyBorder="1" applyFill="1" applyFont="1">
      <alignment shrinkToFit="0" wrapText="0"/>
    </xf>
    <xf borderId="9" fillId="2" fontId="4" numFmtId="0" xfId="0" applyAlignment="1" applyBorder="1" applyFont="1">
      <alignment readingOrder="0" shrinkToFit="0" wrapText="0"/>
    </xf>
    <xf borderId="10" fillId="0" fontId="5" numFmtId="0" xfId="0" applyAlignment="1" applyBorder="1" applyFont="1">
      <alignment readingOrder="0" shrinkToFit="0" vertical="bottom" wrapText="0"/>
    </xf>
    <xf borderId="0" fillId="0" fontId="5" numFmtId="0" xfId="0" applyAlignment="1" applyFont="1">
      <alignment readingOrder="0" shrinkToFit="0" vertical="bottom" wrapText="0"/>
    </xf>
    <xf borderId="0" fillId="0" fontId="5" numFmtId="0" xfId="0" applyAlignment="1" applyFont="1">
      <alignment shrinkToFit="0" vertical="bottom" wrapText="0"/>
    </xf>
    <xf borderId="0" fillId="0" fontId="5" numFmtId="164" xfId="0" applyAlignment="1" applyFont="1" applyNumberFormat="1">
      <alignment readingOrder="0" shrinkToFit="0" vertical="bottom" wrapText="0"/>
    </xf>
    <xf borderId="0" fillId="3" fontId="5" numFmtId="0" xfId="0" applyAlignment="1" applyFont="1">
      <alignment readingOrder="0" shrinkToFit="0" vertical="bottom" wrapText="0"/>
    </xf>
    <xf borderId="11" fillId="0" fontId="5" numFmtId="165" xfId="0" applyAlignment="1" applyBorder="1" applyFont="1" applyNumberFormat="1">
      <alignment readingOrder="0" shrinkToFit="0" vertical="bottom" wrapText="0"/>
    </xf>
    <xf borderId="11" fillId="0" fontId="5" numFmtId="164" xfId="0" applyAlignment="1" applyBorder="1" applyFont="1" applyNumberFormat="1">
      <alignment readingOrder="0" shrinkToFit="0" vertical="bottom" wrapText="0"/>
    </xf>
    <xf borderId="0" fillId="3" fontId="5" numFmtId="0" xfId="0" applyAlignment="1" applyFont="1">
      <alignment shrinkToFit="0" vertical="bottom" wrapText="0"/>
    </xf>
    <xf borderId="10" fillId="3" fontId="5" numFmtId="0" xfId="0" applyAlignment="1" applyBorder="1" applyFont="1">
      <alignment readingOrder="0" shrinkToFit="0" vertical="bottom" wrapText="0"/>
    </xf>
    <xf borderId="0" fillId="3" fontId="5" numFmtId="164" xfId="0" applyAlignment="1" applyFont="1" applyNumberFormat="1">
      <alignment readingOrder="0" shrinkToFit="0" vertical="bottom" wrapText="0"/>
    </xf>
    <xf borderId="11" fillId="3" fontId="5" numFmtId="164" xfId="0" applyAlignment="1" applyBorder="1" applyFont="1" applyNumberFormat="1">
      <alignment readingOrder="0" shrinkToFit="0" vertical="bottom" wrapText="0"/>
    </xf>
    <xf borderId="12" fillId="0" fontId="5" numFmtId="0" xfId="0" applyAlignment="1" applyBorder="1" applyFont="1">
      <alignment readingOrder="0" shrinkToFit="0" vertical="bottom" wrapText="0"/>
    </xf>
    <xf borderId="13" fillId="0" fontId="5" numFmtId="0" xfId="0" applyAlignment="1" applyBorder="1" applyFont="1">
      <alignment readingOrder="0" shrinkToFit="0" vertical="bottom" wrapText="0"/>
    </xf>
    <xf borderId="13" fillId="0" fontId="5" numFmtId="0" xfId="0" applyAlignment="1" applyBorder="1" applyFont="1">
      <alignment shrinkToFit="0" vertical="bottom" wrapText="0"/>
    </xf>
    <xf borderId="13" fillId="0" fontId="5" numFmtId="164" xfId="0" applyAlignment="1" applyBorder="1" applyFont="1" applyNumberFormat="1">
      <alignment readingOrder="0" shrinkToFit="0" vertical="bottom" wrapText="0"/>
    </xf>
    <xf borderId="13" fillId="0" fontId="6" numFmtId="0" xfId="0" applyAlignment="1" applyBorder="1" applyFont="1">
      <alignment readingOrder="0" shrinkToFit="0" vertical="bottom" wrapText="0"/>
    </xf>
    <xf borderId="14" fillId="0" fontId="5" numFmtId="164" xfId="0" applyAlignment="1" applyBorder="1" applyFont="1" applyNumberForma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nwarfel@lilly.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0" max="30" width="14.38"/>
  </cols>
  <sheetData>
    <row r="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3"/>
    </row>
    <row r="2">
      <c r="A2" s="4" t="s">
        <v>1</v>
      </c>
      <c r="B2" s="5"/>
      <c r="C2" s="5"/>
      <c r="D2" s="5"/>
      <c r="E2" s="5"/>
      <c r="F2" s="5"/>
      <c r="G2" s="5"/>
      <c r="H2" s="5"/>
      <c r="I2" s="5"/>
      <c r="J2" s="5"/>
      <c r="K2" s="5"/>
      <c r="L2" s="5"/>
      <c r="M2" s="5"/>
      <c r="N2" s="5"/>
      <c r="O2" s="5"/>
      <c r="P2" s="5"/>
      <c r="Q2" s="5"/>
      <c r="R2" s="5"/>
      <c r="S2" s="5"/>
      <c r="T2" s="5"/>
      <c r="U2" s="5"/>
      <c r="V2" s="5"/>
      <c r="W2" s="5"/>
      <c r="X2" s="5"/>
      <c r="Y2" s="5"/>
      <c r="Z2" s="5"/>
      <c r="AA2" s="5"/>
      <c r="AB2" s="5"/>
      <c r="AC2" s="5"/>
      <c r="AD2" s="5"/>
      <c r="AE2" s="6"/>
    </row>
    <row r="3">
      <c r="A3" s="7" t="s">
        <v>2</v>
      </c>
      <c r="B3" s="8" t="s">
        <v>3</v>
      </c>
      <c r="C3" s="8" t="s">
        <v>4</v>
      </c>
      <c r="D3" s="8" t="s">
        <v>5</v>
      </c>
      <c r="E3" s="8" t="s">
        <v>6</v>
      </c>
      <c r="F3" s="8" t="s">
        <v>7</v>
      </c>
      <c r="G3" s="8" t="s">
        <v>8</v>
      </c>
      <c r="H3" s="8" t="s">
        <v>9</v>
      </c>
      <c r="I3" s="8" t="s">
        <v>10</v>
      </c>
      <c r="J3" s="8" t="s">
        <v>11</v>
      </c>
      <c r="K3" s="8" t="s">
        <v>12</v>
      </c>
      <c r="L3" s="8" t="s">
        <v>13</v>
      </c>
      <c r="M3" s="8" t="s">
        <v>14</v>
      </c>
      <c r="N3" s="8" t="s">
        <v>15</v>
      </c>
      <c r="O3" s="8" t="s">
        <v>16</v>
      </c>
      <c r="P3" s="8" t="s">
        <v>17</v>
      </c>
      <c r="Q3" s="8" t="s">
        <v>18</v>
      </c>
      <c r="R3" s="8" t="s">
        <v>19</v>
      </c>
      <c r="S3" s="8" t="s">
        <v>20</v>
      </c>
      <c r="T3" s="8" t="s">
        <v>21</v>
      </c>
      <c r="U3" s="8" t="s">
        <v>22</v>
      </c>
      <c r="V3" s="8" t="s">
        <v>23</v>
      </c>
      <c r="W3" s="8" t="s">
        <v>24</v>
      </c>
      <c r="X3" s="8" t="s">
        <v>25</v>
      </c>
      <c r="Y3" s="8" t="s">
        <v>26</v>
      </c>
      <c r="Z3" s="8" t="s">
        <v>27</v>
      </c>
      <c r="AA3" s="8" t="s">
        <v>28</v>
      </c>
      <c r="AB3" s="9"/>
      <c r="AC3" s="8" t="s">
        <v>29</v>
      </c>
      <c r="AD3" s="8" t="s">
        <v>30</v>
      </c>
      <c r="AE3" s="10" t="s">
        <v>31</v>
      </c>
    </row>
    <row r="4">
      <c r="A4" s="11">
        <v>3.6475618E7</v>
      </c>
      <c r="B4" s="12" t="s">
        <v>32</v>
      </c>
      <c r="C4" s="12">
        <v>520.0</v>
      </c>
      <c r="D4" s="13"/>
      <c r="E4" s="13"/>
      <c r="F4" s="12">
        <v>6.8857975E7</v>
      </c>
      <c r="G4" s="14">
        <v>44966.644479166665</v>
      </c>
      <c r="H4" s="13"/>
      <c r="I4" s="12" t="s">
        <v>33</v>
      </c>
      <c r="J4" s="13"/>
      <c r="K4" s="12" t="s">
        <v>34</v>
      </c>
      <c r="L4" s="13"/>
      <c r="M4" s="12" t="s">
        <v>35</v>
      </c>
      <c r="N4" s="12" t="s">
        <v>36</v>
      </c>
      <c r="O4" s="13"/>
      <c r="P4" s="12" t="s">
        <v>37</v>
      </c>
      <c r="Q4" s="13"/>
      <c r="R4" s="13"/>
      <c r="S4" s="12" t="s">
        <v>38</v>
      </c>
      <c r="T4" s="12" t="s">
        <v>39</v>
      </c>
      <c r="U4" s="12">
        <v>92821.0</v>
      </c>
      <c r="V4" s="12" t="s">
        <v>40</v>
      </c>
      <c r="W4" s="13"/>
      <c r="X4" s="12">
        <v>6.264820654E9</v>
      </c>
      <c r="Y4" s="13"/>
      <c r="Z4" s="13"/>
      <c r="AA4" s="12" t="s">
        <v>41</v>
      </c>
      <c r="AB4" s="15" t="s">
        <v>42</v>
      </c>
      <c r="AC4" s="13"/>
      <c r="AD4" s="12" t="s">
        <v>43</v>
      </c>
      <c r="AE4" s="16">
        <f t="shared" ref="AE4:AE7" si="1">today()</f>
        <v>46061</v>
      </c>
    </row>
    <row r="5">
      <c r="A5" s="11">
        <v>3.6475428E7</v>
      </c>
      <c r="B5" s="12" t="s">
        <v>32</v>
      </c>
      <c r="C5" s="12">
        <v>520.0</v>
      </c>
      <c r="D5" s="13"/>
      <c r="E5" s="13"/>
      <c r="F5" s="12">
        <v>6.8229703E7</v>
      </c>
      <c r="G5" s="14">
        <v>44966.637094907404</v>
      </c>
      <c r="H5" s="13"/>
      <c r="I5" s="12" t="s">
        <v>44</v>
      </c>
      <c r="J5" s="13"/>
      <c r="K5" s="12" t="s">
        <v>45</v>
      </c>
      <c r="L5" s="13"/>
      <c r="M5" s="12" t="s">
        <v>46</v>
      </c>
      <c r="N5" s="12" t="s">
        <v>47</v>
      </c>
      <c r="O5" s="13"/>
      <c r="P5" s="12" t="s">
        <v>48</v>
      </c>
      <c r="Q5" s="13"/>
      <c r="R5" s="13"/>
      <c r="S5" s="12" t="s">
        <v>49</v>
      </c>
      <c r="T5" s="13"/>
      <c r="U5" s="12">
        <v>22505.0</v>
      </c>
      <c r="V5" s="12" t="s">
        <v>50</v>
      </c>
      <c r="W5" s="13"/>
      <c r="X5" s="12" t="s">
        <v>51</v>
      </c>
      <c r="Y5" s="13"/>
      <c r="Z5" s="13"/>
      <c r="AA5" s="12" t="s">
        <v>52</v>
      </c>
      <c r="AB5" s="15" t="s">
        <v>53</v>
      </c>
      <c r="AC5" s="13"/>
      <c r="AD5" s="12" t="s">
        <v>43</v>
      </c>
      <c r="AE5" s="17">
        <f t="shared" si="1"/>
        <v>46061</v>
      </c>
    </row>
    <row r="6">
      <c r="A6" s="11">
        <v>3.647542E7</v>
      </c>
      <c r="B6" s="12" t="s">
        <v>32</v>
      </c>
      <c r="C6" s="12">
        <v>520.0</v>
      </c>
      <c r="D6" s="13"/>
      <c r="E6" s="13"/>
      <c r="F6" s="12">
        <v>6.8385419E7</v>
      </c>
      <c r="G6" s="14">
        <v>44966.63690972222</v>
      </c>
      <c r="H6" s="13"/>
      <c r="I6" s="12" t="s">
        <v>54</v>
      </c>
      <c r="J6" s="13"/>
      <c r="K6" s="12" t="s">
        <v>55</v>
      </c>
      <c r="L6" s="13"/>
      <c r="M6" s="12" t="s">
        <v>56</v>
      </c>
      <c r="N6" s="12" t="s">
        <v>57</v>
      </c>
      <c r="O6" s="13"/>
      <c r="P6" s="12" t="s">
        <v>58</v>
      </c>
      <c r="Q6" s="12" t="s">
        <v>59</v>
      </c>
      <c r="R6" s="13"/>
      <c r="S6" s="12" t="s">
        <v>60</v>
      </c>
      <c r="T6" s="13"/>
      <c r="U6" s="12">
        <v>85506.0</v>
      </c>
      <c r="V6" s="12" t="s">
        <v>50</v>
      </c>
      <c r="W6" s="13"/>
      <c r="X6" s="12">
        <v>5.537072031E9</v>
      </c>
      <c r="Y6" s="13"/>
      <c r="Z6" s="13"/>
      <c r="AA6" s="12" t="s">
        <v>58</v>
      </c>
      <c r="AB6" s="15" t="s">
        <v>53</v>
      </c>
      <c r="AC6" s="13"/>
      <c r="AD6" s="12" t="s">
        <v>61</v>
      </c>
      <c r="AE6" s="17">
        <f t="shared" si="1"/>
        <v>46061</v>
      </c>
    </row>
    <row r="7">
      <c r="A7" s="11">
        <v>3.6475374E7</v>
      </c>
      <c r="B7" s="12" t="s">
        <v>32</v>
      </c>
      <c r="C7" s="12">
        <v>520.0</v>
      </c>
      <c r="D7" s="13"/>
      <c r="E7" s="13"/>
      <c r="F7" s="12">
        <v>6.9056186E7</v>
      </c>
      <c r="G7" s="14">
        <v>44966.63523148148</v>
      </c>
      <c r="H7" s="13"/>
      <c r="I7" s="12" t="s">
        <v>62</v>
      </c>
      <c r="J7" s="13"/>
      <c r="K7" s="12" t="s">
        <v>63</v>
      </c>
      <c r="L7" s="13"/>
      <c r="M7" s="12" t="s">
        <v>64</v>
      </c>
      <c r="N7" s="12" t="s">
        <v>47</v>
      </c>
      <c r="O7" s="13"/>
      <c r="P7" s="12" t="s">
        <v>65</v>
      </c>
      <c r="Q7" s="13"/>
      <c r="R7" s="13"/>
      <c r="S7" s="12" t="s">
        <v>66</v>
      </c>
      <c r="T7" s="12" t="s">
        <v>67</v>
      </c>
      <c r="U7" s="12">
        <v>48168.0</v>
      </c>
      <c r="V7" s="12" t="s">
        <v>40</v>
      </c>
      <c r="W7" s="13"/>
      <c r="X7" s="12">
        <v>2.173904091E9</v>
      </c>
      <c r="Y7" s="13"/>
      <c r="Z7" s="13"/>
      <c r="AA7" s="12" t="s">
        <v>68</v>
      </c>
      <c r="AB7" s="15" t="s">
        <v>53</v>
      </c>
      <c r="AC7" s="13"/>
      <c r="AD7" s="12" t="s">
        <v>43</v>
      </c>
      <c r="AE7" s="17">
        <f t="shared" si="1"/>
        <v>46061</v>
      </c>
    </row>
    <row r="8">
      <c r="A8" s="11">
        <v>3.6474237E7</v>
      </c>
      <c r="B8" s="12" t="s">
        <v>32</v>
      </c>
      <c r="C8" s="12">
        <v>520.0</v>
      </c>
      <c r="D8" s="13"/>
      <c r="E8" s="13"/>
      <c r="F8" s="12">
        <v>6.8772294E7</v>
      </c>
      <c r="G8" s="14">
        <v>44966.608831018515</v>
      </c>
      <c r="H8" s="13"/>
      <c r="I8" s="12" t="s">
        <v>69</v>
      </c>
      <c r="J8" s="13"/>
      <c r="K8" s="12" t="s">
        <v>70</v>
      </c>
      <c r="L8" s="13"/>
      <c r="M8" s="12" t="s">
        <v>71</v>
      </c>
      <c r="N8" s="12" t="s">
        <v>72</v>
      </c>
      <c r="O8" s="13"/>
      <c r="P8" s="12" t="s">
        <v>73</v>
      </c>
      <c r="Q8" s="13"/>
      <c r="R8" s="13"/>
      <c r="S8" s="12" t="s">
        <v>74</v>
      </c>
      <c r="T8" s="12" t="s">
        <v>75</v>
      </c>
      <c r="U8" s="12">
        <v>55025.0</v>
      </c>
      <c r="V8" s="12" t="s">
        <v>40</v>
      </c>
      <c r="W8" s="13"/>
      <c r="X8" s="12">
        <v>9.518183073E9</v>
      </c>
      <c r="Y8" s="12">
        <v>7.635352334E9</v>
      </c>
      <c r="Z8" s="13"/>
      <c r="AA8" s="12" t="s">
        <v>76</v>
      </c>
      <c r="AB8" s="18"/>
      <c r="AC8" s="13"/>
      <c r="AD8" s="12" t="s">
        <v>77</v>
      </c>
      <c r="AE8" s="17">
        <v>44966.943333333336</v>
      </c>
    </row>
    <row r="9">
      <c r="A9" s="11">
        <v>3.6473412E7</v>
      </c>
      <c r="B9" s="12" t="s">
        <v>32</v>
      </c>
      <c r="C9" s="12">
        <v>520.0</v>
      </c>
      <c r="D9" s="13"/>
      <c r="E9" s="13"/>
      <c r="F9" s="12">
        <v>6.8661956E7</v>
      </c>
      <c r="G9" s="14">
        <v>44966.59270833333</v>
      </c>
      <c r="H9" s="13"/>
      <c r="I9" s="12" t="s">
        <v>78</v>
      </c>
      <c r="J9" s="13"/>
      <c r="K9" s="12" t="s">
        <v>79</v>
      </c>
      <c r="L9" s="13"/>
      <c r="M9" s="12" t="s">
        <v>80</v>
      </c>
      <c r="N9" s="12" t="s">
        <v>81</v>
      </c>
      <c r="O9" s="13"/>
      <c r="P9" s="12" t="s">
        <v>82</v>
      </c>
      <c r="Q9" s="13"/>
      <c r="R9" s="13"/>
      <c r="S9" s="12" t="s">
        <v>83</v>
      </c>
      <c r="T9" s="12" t="s">
        <v>39</v>
      </c>
      <c r="U9" s="12">
        <v>93013.0</v>
      </c>
      <c r="V9" s="12" t="s">
        <v>40</v>
      </c>
      <c r="W9" s="13"/>
      <c r="X9" s="12">
        <v>3.108726512E9</v>
      </c>
      <c r="Y9" s="12">
        <v>6.268149684E9</v>
      </c>
      <c r="Z9" s="13"/>
      <c r="AA9" s="12" t="s">
        <v>84</v>
      </c>
      <c r="AB9" s="15" t="s">
        <v>53</v>
      </c>
      <c r="AC9" s="13"/>
      <c r="AD9" s="12" t="s">
        <v>85</v>
      </c>
      <c r="AE9" s="17">
        <f t="shared" ref="AE9:AE11" si="2">today()</f>
        <v>46061</v>
      </c>
    </row>
    <row r="10">
      <c r="A10" s="11">
        <v>3.6473179E7</v>
      </c>
      <c r="B10" s="12" t="s">
        <v>32</v>
      </c>
      <c r="C10" s="12">
        <v>520.0</v>
      </c>
      <c r="D10" s="13"/>
      <c r="E10" s="13"/>
      <c r="F10" s="12">
        <v>6.8170758E7</v>
      </c>
      <c r="G10" s="14">
        <v>44966.589270833334</v>
      </c>
      <c r="H10" s="13"/>
      <c r="I10" s="12" t="s">
        <v>86</v>
      </c>
      <c r="J10" s="13"/>
      <c r="K10" s="12" t="s">
        <v>87</v>
      </c>
      <c r="L10" s="13"/>
      <c r="M10" s="12" t="s">
        <v>88</v>
      </c>
      <c r="N10" s="12" t="s">
        <v>89</v>
      </c>
      <c r="O10" s="13"/>
      <c r="P10" s="12" t="s">
        <v>90</v>
      </c>
      <c r="Q10" s="13"/>
      <c r="R10" s="13"/>
      <c r="S10" s="12" t="s">
        <v>91</v>
      </c>
      <c r="T10" s="12" t="s">
        <v>92</v>
      </c>
      <c r="U10" s="12">
        <v>13152.0</v>
      </c>
      <c r="V10" s="12" t="s">
        <v>40</v>
      </c>
      <c r="W10" s="13"/>
      <c r="X10" s="12">
        <v>3.152373306E9</v>
      </c>
      <c r="Y10" s="12">
        <v>3.156893924E9</v>
      </c>
      <c r="Z10" s="13"/>
      <c r="AA10" s="12" t="s">
        <v>93</v>
      </c>
      <c r="AB10" s="15" t="s">
        <v>53</v>
      </c>
      <c r="AC10" s="13"/>
      <c r="AD10" s="12" t="s">
        <v>94</v>
      </c>
      <c r="AE10" s="17">
        <f t="shared" si="2"/>
        <v>46061</v>
      </c>
    </row>
    <row r="11">
      <c r="A11" s="11">
        <v>3.6470572E7</v>
      </c>
      <c r="B11" s="12" t="s">
        <v>32</v>
      </c>
      <c r="C11" s="12">
        <v>520.0</v>
      </c>
      <c r="D11" s="13"/>
      <c r="E11" s="13"/>
      <c r="F11" s="12">
        <v>6.8260395E7</v>
      </c>
      <c r="G11" s="14">
        <v>44966.546944444446</v>
      </c>
      <c r="H11" s="13"/>
      <c r="I11" s="12" t="s">
        <v>95</v>
      </c>
      <c r="J11" s="13"/>
      <c r="K11" s="12" t="s">
        <v>96</v>
      </c>
      <c r="L11" s="13"/>
      <c r="M11" s="12" t="s">
        <v>97</v>
      </c>
      <c r="N11" s="12" t="s">
        <v>98</v>
      </c>
      <c r="O11" s="13"/>
      <c r="P11" s="12" t="s">
        <v>99</v>
      </c>
      <c r="Q11" s="13"/>
      <c r="R11" s="13"/>
      <c r="S11" s="12" t="s">
        <v>100</v>
      </c>
      <c r="T11" s="12" t="s">
        <v>101</v>
      </c>
      <c r="U11" s="12">
        <v>60050.0</v>
      </c>
      <c r="V11" s="12" t="s">
        <v>40</v>
      </c>
      <c r="W11" s="13"/>
      <c r="X11" s="12">
        <v>2.246392605E9</v>
      </c>
      <c r="Y11" s="12">
        <v>8.002553358E9</v>
      </c>
      <c r="Z11" s="13"/>
      <c r="AA11" s="12" t="s">
        <v>102</v>
      </c>
      <c r="AB11" s="18"/>
      <c r="AC11" s="13"/>
      <c r="AD11" s="12" t="s">
        <v>43</v>
      </c>
      <c r="AE11" s="17">
        <f t="shared" si="2"/>
        <v>46061</v>
      </c>
    </row>
    <row r="12">
      <c r="A12" s="11">
        <v>3.6469984E7</v>
      </c>
      <c r="B12" s="12" t="s">
        <v>32</v>
      </c>
      <c r="C12" s="12">
        <v>520.0</v>
      </c>
      <c r="D12" s="13"/>
      <c r="E12" s="13"/>
      <c r="F12" s="12">
        <v>6.8497207E7</v>
      </c>
      <c r="G12" s="14">
        <v>44966.538252314815</v>
      </c>
      <c r="H12" s="13"/>
      <c r="I12" s="12" t="s">
        <v>103</v>
      </c>
      <c r="J12" s="13"/>
      <c r="K12" s="12" t="s">
        <v>104</v>
      </c>
      <c r="L12" s="13"/>
      <c r="M12" s="12" t="s">
        <v>105</v>
      </c>
      <c r="N12" s="12" t="s">
        <v>106</v>
      </c>
      <c r="O12" s="13"/>
      <c r="P12" s="12" t="s">
        <v>107</v>
      </c>
      <c r="Q12" s="13"/>
      <c r="R12" s="13"/>
      <c r="S12" s="12" t="s">
        <v>108</v>
      </c>
      <c r="T12" s="13"/>
      <c r="U12" s="12">
        <v>87509.0</v>
      </c>
      <c r="V12" s="12" t="s">
        <v>109</v>
      </c>
      <c r="W12" s="13"/>
      <c r="X12" s="13">
        <f>+491741813769</f>
        <v>491741813769</v>
      </c>
      <c r="Y12" s="13">
        <f>+498323204899</f>
        <v>498323204899</v>
      </c>
      <c r="Z12" s="13"/>
      <c r="AA12" s="12" t="s">
        <v>110</v>
      </c>
      <c r="AB12" s="15" t="s">
        <v>53</v>
      </c>
      <c r="AC12" s="13"/>
      <c r="AD12" s="13"/>
      <c r="AE12" s="17">
        <v>44966.87167824074</v>
      </c>
    </row>
    <row r="13">
      <c r="A13" s="11">
        <v>3.6469212E7</v>
      </c>
      <c r="B13" s="12" t="s">
        <v>111</v>
      </c>
      <c r="C13" s="12">
        <v>520.0</v>
      </c>
      <c r="D13" s="13"/>
      <c r="E13" s="13"/>
      <c r="F13" s="12">
        <v>6.8450622E7</v>
      </c>
      <c r="G13" s="14">
        <v>44966.52809027778</v>
      </c>
      <c r="H13" s="13"/>
      <c r="I13" s="12" t="s">
        <v>112</v>
      </c>
      <c r="J13" s="13"/>
      <c r="K13" s="12" t="s">
        <v>113</v>
      </c>
      <c r="L13" s="13"/>
      <c r="M13" s="12" t="s">
        <v>114</v>
      </c>
      <c r="N13" s="12" t="s">
        <v>115</v>
      </c>
      <c r="O13" s="13"/>
      <c r="P13" s="12" t="s">
        <v>116</v>
      </c>
      <c r="Q13" s="12" t="s">
        <v>117</v>
      </c>
      <c r="R13" s="13"/>
      <c r="S13" s="12" t="s">
        <v>118</v>
      </c>
      <c r="T13" s="13"/>
      <c r="U13" s="12">
        <v>4040.0</v>
      </c>
      <c r="V13" s="12" t="s">
        <v>50</v>
      </c>
      <c r="W13" s="13"/>
      <c r="X13" s="12">
        <v>5.27352110159E11</v>
      </c>
      <c r="Y13" s="13"/>
      <c r="Z13" s="13"/>
      <c r="AA13" s="12" t="s">
        <v>119</v>
      </c>
      <c r="AB13" s="15" t="s">
        <v>53</v>
      </c>
      <c r="AC13" s="13"/>
      <c r="AD13" s="12" t="s">
        <v>120</v>
      </c>
      <c r="AE13" s="17">
        <f t="shared" ref="AE13:AE14" si="3">today()</f>
        <v>46061</v>
      </c>
    </row>
    <row r="14">
      <c r="A14" s="11">
        <v>3.6469066E7</v>
      </c>
      <c r="B14" s="12" t="s">
        <v>32</v>
      </c>
      <c r="C14" s="12">
        <v>520.0</v>
      </c>
      <c r="D14" s="13"/>
      <c r="E14" s="13"/>
      <c r="F14" s="12">
        <v>6.8166677E7</v>
      </c>
      <c r="G14" s="14">
        <v>44966.52652777778</v>
      </c>
      <c r="H14" s="13"/>
      <c r="I14" s="12" t="s">
        <v>121</v>
      </c>
      <c r="J14" s="13"/>
      <c r="K14" s="12" t="s">
        <v>122</v>
      </c>
      <c r="L14" s="13"/>
      <c r="M14" s="12" t="s">
        <v>123</v>
      </c>
      <c r="N14" s="12" t="s">
        <v>124</v>
      </c>
      <c r="O14" s="13"/>
      <c r="P14" s="12" t="s">
        <v>125</v>
      </c>
      <c r="Q14" s="13"/>
      <c r="R14" s="13"/>
      <c r="S14" s="12" t="s">
        <v>126</v>
      </c>
      <c r="T14" s="12" t="s">
        <v>127</v>
      </c>
      <c r="U14" s="12">
        <v>30269.0</v>
      </c>
      <c r="V14" s="12" t="s">
        <v>40</v>
      </c>
      <c r="W14" s="13"/>
      <c r="X14" s="12">
        <v>7.706885E9</v>
      </c>
      <c r="Y14" s="12">
        <v>7.706885E9</v>
      </c>
      <c r="Z14" s="13"/>
      <c r="AA14" s="12" t="s">
        <v>128</v>
      </c>
      <c r="AB14" s="15" t="s">
        <v>53</v>
      </c>
      <c r="AC14" s="13"/>
      <c r="AD14" s="12" t="s">
        <v>129</v>
      </c>
      <c r="AE14" s="17">
        <f t="shared" si="3"/>
        <v>46061</v>
      </c>
    </row>
    <row r="15">
      <c r="A15" s="11">
        <v>3.6469065E7</v>
      </c>
      <c r="B15" s="12" t="s">
        <v>32</v>
      </c>
      <c r="C15" s="12">
        <v>520.0</v>
      </c>
      <c r="D15" s="13"/>
      <c r="E15" s="13"/>
      <c r="F15" s="12">
        <v>6.8065102E7</v>
      </c>
      <c r="G15" s="14">
        <v>44966.526354166665</v>
      </c>
      <c r="H15" s="13"/>
      <c r="I15" s="12" t="s">
        <v>130</v>
      </c>
      <c r="J15" s="13"/>
      <c r="K15" s="12" t="s">
        <v>131</v>
      </c>
      <c r="L15" s="13"/>
      <c r="M15" s="12" t="s">
        <v>132</v>
      </c>
      <c r="N15" s="12" t="s">
        <v>124</v>
      </c>
      <c r="O15" s="13"/>
      <c r="P15" s="12" t="s">
        <v>125</v>
      </c>
      <c r="Q15" s="13"/>
      <c r="R15" s="13"/>
      <c r="S15" s="12" t="s">
        <v>126</v>
      </c>
      <c r="T15" s="12" t="s">
        <v>127</v>
      </c>
      <c r="U15" s="12">
        <v>30269.0</v>
      </c>
      <c r="V15" s="12" t="s">
        <v>40</v>
      </c>
      <c r="W15" s="13"/>
      <c r="X15" s="12">
        <v>1.705720711E9</v>
      </c>
      <c r="Y15" s="12">
        <v>9.4316396168E10</v>
      </c>
      <c r="Z15" s="13"/>
      <c r="AA15" s="12" t="s">
        <v>133</v>
      </c>
      <c r="AB15" s="15" t="s">
        <v>53</v>
      </c>
      <c r="AC15" s="13"/>
      <c r="AD15" s="13"/>
      <c r="AE15" s="17">
        <v>44966.85983796296</v>
      </c>
    </row>
    <row r="16">
      <c r="A16" s="11">
        <v>3.6468082E7</v>
      </c>
      <c r="B16" s="12" t="s">
        <v>32</v>
      </c>
      <c r="C16" s="12">
        <v>520.0</v>
      </c>
      <c r="D16" s="13"/>
      <c r="E16" s="13"/>
      <c r="F16" s="12">
        <v>6.821075E7</v>
      </c>
      <c r="G16" s="14">
        <v>44966.513090277775</v>
      </c>
      <c r="H16" s="13"/>
      <c r="I16" s="12" t="s">
        <v>134</v>
      </c>
      <c r="J16" s="13"/>
      <c r="K16" s="12" t="s">
        <v>135</v>
      </c>
      <c r="L16" s="13"/>
      <c r="M16" s="12" t="s">
        <v>136</v>
      </c>
      <c r="N16" s="12" t="s">
        <v>137</v>
      </c>
      <c r="O16" s="13"/>
      <c r="P16" s="12" t="s">
        <v>138</v>
      </c>
      <c r="Q16" s="13"/>
      <c r="R16" s="13"/>
      <c r="S16" s="12" t="s">
        <v>139</v>
      </c>
      <c r="T16" s="12" t="s">
        <v>140</v>
      </c>
      <c r="U16" s="12">
        <v>97070.0</v>
      </c>
      <c r="V16" s="12" t="s">
        <v>40</v>
      </c>
      <c r="W16" s="13"/>
      <c r="X16" s="12">
        <v>8.478480808E9</v>
      </c>
      <c r="Y16" s="12">
        <v>5.0368593E9</v>
      </c>
      <c r="Z16" s="13"/>
      <c r="AA16" s="12" t="s">
        <v>141</v>
      </c>
      <c r="AB16" s="18"/>
      <c r="AC16" s="13"/>
      <c r="AD16" s="13"/>
      <c r="AE16" s="17">
        <v>44966.84652777778</v>
      </c>
    </row>
    <row r="17">
      <c r="A17" s="11">
        <v>3.6467017E7</v>
      </c>
      <c r="B17" s="12" t="s">
        <v>32</v>
      </c>
      <c r="C17" s="12">
        <v>520.0</v>
      </c>
      <c r="D17" s="13"/>
      <c r="E17" s="13"/>
      <c r="F17" s="12">
        <v>6.8867486E7</v>
      </c>
      <c r="G17" s="14">
        <v>44966.50116898148</v>
      </c>
      <c r="H17" s="13"/>
      <c r="I17" s="12" t="s">
        <v>95</v>
      </c>
      <c r="J17" s="13"/>
      <c r="K17" s="12" t="s">
        <v>142</v>
      </c>
      <c r="L17" s="13"/>
      <c r="M17" s="12" t="s">
        <v>143</v>
      </c>
      <c r="N17" s="12" t="s">
        <v>144</v>
      </c>
      <c r="O17" s="13"/>
      <c r="P17" s="12" t="s">
        <v>145</v>
      </c>
      <c r="Q17" s="13"/>
      <c r="R17" s="13"/>
      <c r="S17" s="12" t="s">
        <v>146</v>
      </c>
      <c r="T17" s="13"/>
      <c r="U17" s="12">
        <v>57413.0</v>
      </c>
      <c r="V17" s="12" t="s">
        <v>109</v>
      </c>
      <c r="W17" s="13"/>
      <c r="X17" s="12">
        <v>1.709596383E9</v>
      </c>
      <c r="Y17" s="12">
        <v>2.72197641E9</v>
      </c>
      <c r="Z17" s="13"/>
      <c r="AA17" s="12" t="s">
        <v>147</v>
      </c>
      <c r="AB17" s="18"/>
      <c r="AC17" s="13"/>
      <c r="AD17" s="13"/>
      <c r="AE17" s="17">
        <v>44966.83462962963</v>
      </c>
    </row>
    <row r="18">
      <c r="A18" s="11">
        <v>3.6465969E7</v>
      </c>
      <c r="B18" s="12" t="s">
        <v>32</v>
      </c>
      <c r="C18" s="12">
        <v>520.0</v>
      </c>
      <c r="D18" s="13"/>
      <c r="E18" s="13"/>
      <c r="F18" s="12">
        <v>6.820695E7</v>
      </c>
      <c r="G18" s="14">
        <v>44966.489328703705</v>
      </c>
      <c r="H18" s="13"/>
      <c r="I18" s="12" t="s">
        <v>148</v>
      </c>
      <c r="J18" s="13"/>
      <c r="K18" s="12" t="s">
        <v>121</v>
      </c>
      <c r="L18" s="13"/>
      <c r="M18" s="12" t="s">
        <v>149</v>
      </c>
      <c r="N18" s="12" t="s">
        <v>150</v>
      </c>
      <c r="O18" s="13"/>
      <c r="P18" s="12" t="s">
        <v>151</v>
      </c>
      <c r="Q18" s="13"/>
      <c r="R18" s="13"/>
      <c r="S18" s="12" t="s">
        <v>152</v>
      </c>
      <c r="T18" s="12" t="s">
        <v>153</v>
      </c>
      <c r="U18" s="12">
        <v>54016.0</v>
      </c>
      <c r="V18" s="12" t="s">
        <v>40</v>
      </c>
      <c r="W18" s="13"/>
      <c r="X18" s="13">
        <f t="shared" ref="X18:Y18" si="4">+13162268435</f>
        <v>13162268435</v>
      </c>
      <c r="Y18" s="13">
        <f t="shared" si="4"/>
        <v>13162268435</v>
      </c>
      <c r="Z18" s="13"/>
      <c r="AA18" s="12" t="s">
        <v>154</v>
      </c>
      <c r="AB18" s="15" t="s">
        <v>53</v>
      </c>
      <c r="AC18" s="13"/>
      <c r="AD18" s="12" t="s">
        <v>155</v>
      </c>
      <c r="AE18" s="17">
        <v>44966.8246875</v>
      </c>
    </row>
    <row r="19">
      <c r="A19" s="19">
        <v>3.6465617E7</v>
      </c>
      <c r="B19" s="15" t="s">
        <v>32</v>
      </c>
      <c r="C19" s="15">
        <v>520.0</v>
      </c>
      <c r="D19" s="18"/>
      <c r="E19" s="18"/>
      <c r="F19" s="15">
        <v>6.8173559E7</v>
      </c>
      <c r="G19" s="20">
        <v>44966.48614583333</v>
      </c>
      <c r="H19" s="18"/>
      <c r="I19" s="15" t="s">
        <v>156</v>
      </c>
      <c r="J19" s="18"/>
      <c r="K19" s="15" t="s">
        <v>157</v>
      </c>
      <c r="L19" s="18"/>
      <c r="M19" s="15" t="s">
        <v>158</v>
      </c>
      <c r="N19" s="15" t="s">
        <v>159</v>
      </c>
      <c r="O19" s="18"/>
      <c r="P19" s="15" t="s">
        <v>160</v>
      </c>
      <c r="Q19" s="18"/>
      <c r="R19" s="18"/>
      <c r="S19" s="15" t="s">
        <v>161</v>
      </c>
      <c r="T19" s="15" t="s">
        <v>162</v>
      </c>
      <c r="U19" s="15">
        <v>27203.0</v>
      </c>
      <c r="V19" s="15" t="s">
        <v>40</v>
      </c>
      <c r="W19" s="18"/>
      <c r="X19" s="15">
        <v>3.364651787E9</v>
      </c>
      <c r="Y19" s="15">
        <v>3.364981867E9</v>
      </c>
      <c r="Z19" s="18"/>
      <c r="AA19" s="15" t="s">
        <v>163</v>
      </c>
      <c r="AB19" s="15" t="s">
        <v>53</v>
      </c>
      <c r="AC19" s="18"/>
      <c r="AD19" s="18"/>
      <c r="AE19" s="21">
        <v>44966.82266203704</v>
      </c>
    </row>
    <row r="20">
      <c r="A20" s="19">
        <v>3.6464671E7</v>
      </c>
      <c r="B20" s="15" t="s">
        <v>32</v>
      </c>
      <c r="C20" s="15">
        <v>520.0</v>
      </c>
      <c r="D20" s="18"/>
      <c r="E20" s="18"/>
      <c r="F20" s="15">
        <v>6.8445263E7</v>
      </c>
      <c r="G20" s="20">
        <v>44966.47657407408</v>
      </c>
      <c r="H20" s="18"/>
      <c r="I20" s="15" t="s">
        <v>164</v>
      </c>
      <c r="J20" s="18"/>
      <c r="K20" s="15" t="s">
        <v>165</v>
      </c>
      <c r="L20" s="18"/>
      <c r="M20" s="15" t="s">
        <v>166</v>
      </c>
      <c r="N20" s="15" t="s">
        <v>167</v>
      </c>
      <c r="O20" s="18"/>
      <c r="P20" s="15" t="s">
        <v>168</v>
      </c>
      <c r="Q20" s="18"/>
      <c r="R20" s="18"/>
      <c r="S20" s="15" t="s">
        <v>169</v>
      </c>
      <c r="T20" s="15" t="s">
        <v>170</v>
      </c>
      <c r="U20" s="15">
        <v>2035.0</v>
      </c>
      <c r="V20" s="15" t="s">
        <v>40</v>
      </c>
      <c r="W20" s="18"/>
      <c r="X20" s="15">
        <v>3.314259991E9</v>
      </c>
      <c r="Y20" s="15">
        <v>4.8055364E9</v>
      </c>
      <c r="Z20" s="18"/>
      <c r="AA20" s="15" t="s">
        <v>171</v>
      </c>
      <c r="AB20" s="15" t="s">
        <v>53</v>
      </c>
      <c r="AC20" s="18"/>
      <c r="AD20" s="15" t="s">
        <v>172</v>
      </c>
      <c r="AE20" s="21">
        <v>44966.811747685184</v>
      </c>
    </row>
    <row r="21">
      <c r="A21" s="11">
        <v>3.6464388E7</v>
      </c>
      <c r="B21" s="12" t="s">
        <v>173</v>
      </c>
      <c r="C21" s="12">
        <v>520.0</v>
      </c>
      <c r="D21" s="13"/>
      <c r="E21" s="13"/>
      <c r="F21" s="12">
        <v>6.8969544E7</v>
      </c>
      <c r="G21" s="14">
        <v>44966.47418981481</v>
      </c>
      <c r="H21" s="13"/>
      <c r="I21" s="12" t="s">
        <v>174</v>
      </c>
      <c r="J21" s="13"/>
      <c r="K21" s="12" t="s">
        <v>175</v>
      </c>
      <c r="L21" s="13"/>
      <c r="M21" s="12" t="s">
        <v>176</v>
      </c>
      <c r="N21" s="12" t="s">
        <v>177</v>
      </c>
      <c r="O21" s="13"/>
      <c r="P21" s="12" t="s">
        <v>178</v>
      </c>
      <c r="Q21" s="13"/>
      <c r="R21" s="13"/>
      <c r="S21" s="12" t="s">
        <v>179</v>
      </c>
      <c r="T21" s="12" t="s">
        <v>39</v>
      </c>
      <c r="U21" s="12">
        <v>92585.0</v>
      </c>
      <c r="V21" s="12" t="s">
        <v>40</v>
      </c>
      <c r="W21" s="13"/>
      <c r="X21" s="12">
        <v>1.8186672543E10</v>
      </c>
      <c r="Y21" s="12" t="s">
        <v>180</v>
      </c>
      <c r="Z21" s="13"/>
      <c r="AA21" s="12" t="s">
        <v>181</v>
      </c>
      <c r="AB21" s="13"/>
      <c r="AC21" s="13"/>
      <c r="AD21" s="12" t="s">
        <v>182</v>
      </c>
      <c r="AE21" s="17">
        <v>44966.810208333336</v>
      </c>
    </row>
    <row r="22">
      <c r="A22" s="19">
        <v>3.6463965E7</v>
      </c>
      <c r="B22" s="15" t="s">
        <v>32</v>
      </c>
      <c r="C22" s="15">
        <v>520.0</v>
      </c>
      <c r="D22" s="18"/>
      <c r="E22" s="18"/>
      <c r="F22" s="15">
        <v>6.8569438E7</v>
      </c>
      <c r="G22" s="20">
        <v>44966.47005787037</v>
      </c>
      <c r="H22" s="18"/>
      <c r="I22" s="15" t="s">
        <v>183</v>
      </c>
      <c r="J22" s="18"/>
      <c r="K22" s="15" t="s">
        <v>184</v>
      </c>
      <c r="L22" s="18"/>
      <c r="M22" s="15" t="s">
        <v>185</v>
      </c>
      <c r="N22" s="15" t="s">
        <v>167</v>
      </c>
      <c r="O22" s="18"/>
      <c r="P22" s="15" t="s">
        <v>168</v>
      </c>
      <c r="Q22" s="18"/>
      <c r="R22" s="18"/>
      <c r="S22" s="15" t="s">
        <v>169</v>
      </c>
      <c r="T22" s="15" t="s">
        <v>170</v>
      </c>
      <c r="U22" s="15">
        <v>2035.0</v>
      </c>
      <c r="V22" s="15" t="s">
        <v>40</v>
      </c>
      <c r="W22" s="18"/>
      <c r="X22" s="15">
        <v>7.204256484E9</v>
      </c>
      <c r="Y22" s="15">
        <v>4.8055364E9</v>
      </c>
      <c r="Z22" s="18"/>
      <c r="AA22" s="15" t="s">
        <v>186</v>
      </c>
      <c r="AB22" s="15" t="s">
        <v>53</v>
      </c>
      <c r="AC22" s="18"/>
      <c r="AD22" s="18"/>
      <c r="AE22" s="21">
        <v>44966.80347222222</v>
      </c>
    </row>
    <row r="23">
      <c r="A23" s="11">
        <v>3.6463303E7</v>
      </c>
      <c r="B23" s="12" t="s">
        <v>173</v>
      </c>
      <c r="C23" s="12">
        <v>520.0</v>
      </c>
      <c r="D23" s="13"/>
      <c r="E23" s="12" t="s">
        <v>187</v>
      </c>
      <c r="F23" s="12">
        <v>6.9054151E7</v>
      </c>
      <c r="G23" s="14">
        <v>44966.46388888889</v>
      </c>
      <c r="H23" s="13"/>
      <c r="I23" s="12" t="s">
        <v>183</v>
      </c>
      <c r="J23" s="13"/>
      <c r="K23" s="12" t="s">
        <v>188</v>
      </c>
      <c r="L23" s="13"/>
      <c r="M23" s="12" t="s">
        <v>189</v>
      </c>
      <c r="N23" s="12" t="s">
        <v>190</v>
      </c>
      <c r="O23" s="13"/>
      <c r="P23" s="12" t="s">
        <v>191</v>
      </c>
      <c r="Q23" s="13"/>
      <c r="R23" s="13"/>
      <c r="S23" s="12" t="s">
        <v>192</v>
      </c>
      <c r="T23" s="12" t="s">
        <v>101</v>
      </c>
      <c r="U23" s="12">
        <v>60174.0</v>
      </c>
      <c r="V23" s="12" t="s">
        <v>40</v>
      </c>
      <c r="W23" s="13"/>
      <c r="X23" s="12">
        <v>8.47652406E9</v>
      </c>
      <c r="Y23" s="12">
        <v>8.47652406E9</v>
      </c>
      <c r="Z23" s="13"/>
      <c r="AA23" s="12" t="s">
        <v>193</v>
      </c>
      <c r="AB23" s="13"/>
      <c r="AC23" s="13"/>
      <c r="AD23" s="12" t="s">
        <v>194</v>
      </c>
      <c r="AE23" s="17">
        <v>44966.79769675926</v>
      </c>
    </row>
    <row r="24">
      <c r="A24" s="11">
        <v>3.6461381E7</v>
      </c>
      <c r="B24" s="12" t="s">
        <v>32</v>
      </c>
      <c r="C24" s="12">
        <v>520.0</v>
      </c>
      <c r="D24" s="13"/>
      <c r="E24" s="13"/>
      <c r="F24" s="12">
        <v>6.8973426E7</v>
      </c>
      <c r="G24" s="14">
        <v>44966.444918981484</v>
      </c>
      <c r="H24" s="13"/>
      <c r="I24" s="12" t="s">
        <v>195</v>
      </c>
      <c r="J24" s="13"/>
      <c r="K24" s="12" t="s">
        <v>196</v>
      </c>
      <c r="L24" s="13"/>
      <c r="M24" s="12" t="s">
        <v>197</v>
      </c>
      <c r="N24" s="12" t="s">
        <v>198</v>
      </c>
      <c r="O24" s="13"/>
      <c r="P24" s="12" t="s">
        <v>199</v>
      </c>
      <c r="Q24" s="13"/>
      <c r="R24" s="13"/>
      <c r="S24" s="12" t="s">
        <v>200</v>
      </c>
      <c r="T24" s="12" t="s">
        <v>140</v>
      </c>
      <c r="U24" s="12">
        <v>97062.0</v>
      </c>
      <c r="V24" s="12" t="s">
        <v>40</v>
      </c>
      <c r="W24" s="13"/>
      <c r="X24" s="12">
        <v>5.039975372E9</v>
      </c>
      <c r="Y24" s="13"/>
      <c r="Z24" s="13"/>
      <c r="AA24" s="12" t="s">
        <v>201</v>
      </c>
      <c r="AB24" s="18"/>
      <c r="AC24" s="13"/>
      <c r="AD24" s="12" t="s">
        <v>202</v>
      </c>
      <c r="AE24" s="17">
        <v>44966.779502314814</v>
      </c>
    </row>
    <row r="25">
      <c r="A25" s="11">
        <v>3.6460201E7</v>
      </c>
      <c r="B25" s="12" t="s">
        <v>32</v>
      </c>
      <c r="C25" s="12">
        <v>520.0</v>
      </c>
      <c r="D25" s="13"/>
      <c r="E25" s="13"/>
      <c r="F25" s="12">
        <v>6.9030969E7</v>
      </c>
      <c r="G25" s="14">
        <v>44966.42965277778</v>
      </c>
      <c r="H25" s="13"/>
      <c r="I25" s="12" t="s">
        <v>203</v>
      </c>
      <c r="J25" s="13"/>
      <c r="K25" s="12" t="s">
        <v>204</v>
      </c>
      <c r="L25" s="13"/>
      <c r="M25" s="12" t="s">
        <v>205</v>
      </c>
      <c r="N25" s="12" t="s">
        <v>206</v>
      </c>
      <c r="O25" s="13"/>
      <c r="P25" s="12" t="s">
        <v>207</v>
      </c>
      <c r="Q25" s="12" t="s">
        <v>208</v>
      </c>
      <c r="R25" s="13"/>
      <c r="S25" s="12" t="s">
        <v>209</v>
      </c>
      <c r="T25" s="13"/>
      <c r="U25" s="12">
        <v>518132.0</v>
      </c>
      <c r="V25" s="12" t="s">
        <v>40</v>
      </c>
      <c r="W25" s="13"/>
      <c r="X25" s="13">
        <f t="shared" ref="X25:Y25" si="5">+8675533890000</f>
        <v>8675533890000</v>
      </c>
      <c r="Y25" s="13">
        <f t="shared" si="5"/>
        <v>8675533890000</v>
      </c>
      <c r="Z25" s="13"/>
      <c r="AA25" s="12" t="s">
        <v>210</v>
      </c>
      <c r="AB25" s="18"/>
      <c r="AC25" s="13"/>
      <c r="AD25" s="13"/>
      <c r="AE25" s="17">
        <v>44966.76306712963</v>
      </c>
    </row>
    <row r="26">
      <c r="A26" s="11">
        <v>3.6459936E7</v>
      </c>
      <c r="B26" s="12" t="s">
        <v>173</v>
      </c>
      <c r="C26" s="12">
        <v>520.0</v>
      </c>
      <c r="D26" s="13"/>
      <c r="E26" s="12" t="s">
        <v>211</v>
      </c>
      <c r="F26" s="12">
        <v>6.8446346E7</v>
      </c>
      <c r="G26" s="14">
        <v>44966.42487268519</v>
      </c>
      <c r="H26" s="13"/>
      <c r="I26" s="12" t="s">
        <v>212</v>
      </c>
      <c r="J26" s="13"/>
      <c r="K26" s="12" t="s">
        <v>213</v>
      </c>
      <c r="L26" s="13"/>
      <c r="M26" s="12" t="s">
        <v>214</v>
      </c>
      <c r="N26" s="12" t="s">
        <v>215</v>
      </c>
      <c r="O26" s="13"/>
      <c r="P26" s="12" t="s">
        <v>216</v>
      </c>
      <c r="Q26" s="13"/>
      <c r="R26" s="13"/>
      <c r="S26" s="12" t="s">
        <v>217</v>
      </c>
      <c r="T26" s="12" t="s">
        <v>218</v>
      </c>
      <c r="U26" s="12">
        <v>85254.0</v>
      </c>
      <c r="V26" s="12" t="s">
        <v>40</v>
      </c>
      <c r="W26" s="13"/>
      <c r="X26" s="12">
        <v>4.807931165E9</v>
      </c>
      <c r="Y26" s="12">
        <v>4.807931165E9</v>
      </c>
      <c r="Z26" s="13"/>
      <c r="AA26" s="12" t="s">
        <v>219</v>
      </c>
      <c r="AB26" s="13"/>
      <c r="AC26" s="13"/>
      <c r="AD26" s="12" t="s">
        <v>220</v>
      </c>
      <c r="AE26" s="17">
        <v>44966.76028935185</v>
      </c>
    </row>
    <row r="27">
      <c r="A27" s="11">
        <v>3.6459648E7</v>
      </c>
      <c r="B27" s="12" t="s">
        <v>111</v>
      </c>
      <c r="C27" s="12">
        <v>520.0</v>
      </c>
      <c r="D27" s="13"/>
      <c r="E27" s="13"/>
      <c r="F27" s="12">
        <v>6.8663363E7</v>
      </c>
      <c r="G27" s="14">
        <v>44966.41693287037</v>
      </c>
      <c r="H27" s="13"/>
      <c r="I27" s="12" t="s">
        <v>221</v>
      </c>
      <c r="J27" s="13"/>
      <c r="K27" s="12" t="s">
        <v>222</v>
      </c>
      <c r="L27" s="13"/>
      <c r="M27" s="12" t="s">
        <v>223</v>
      </c>
      <c r="N27" s="12" t="s">
        <v>224</v>
      </c>
      <c r="O27" s="13"/>
      <c r="P27" s="12" t="s">
        <v>225</v>
      </c>
      <c r="Q27" s="13"/>
      <c r="R27" s="13"/>
      <c r="S27" s="12" t="s">
        <v>226</v>
      </c>
      <c r="T27" s="12" t="s">
        <v>162</v>
      </c>
      <c r="U27" s="12">
        <v>28759.0</v>
      </c>
      <c r="V27" s="12" t="s">
        <v>40</v>
      </c>
      <c r="W27" s="13"/>
      <c r="X27" s="12">
        <v>8.285569168E9</v>
      </c>
      <c r="Y27" s="12">
        <v>8.285569168E9</v>
      </c>
      <c r="Z27" s="13"/>
      <c r="AA27" s="12" t="s">
        <v>227</v>
      </c>
      <c r="AB27" s="15" t="s">
        <v>53</v>
      </c>
      <c r="AC27" s="13"/>
      <c r="AD27" s="12" t="s">
        <v>228</v>
      </c>
      <c r="AE27" s="17">
        <v>44966.75630787037</v>
      </c>
    </row>
    <row r="28">
      <c r="A28" s="11">
        <v>3.6448053E7</v>
      </c>
      <c r="B28" s="12" t="s">
        <v>32</v>
      </c>
      <c r="C28" s="12">
        <v>520.0</v>
      </c>
      <c r="D28" s="13"/>
      <c r="E28" s="13"/>
      <c r="F28" s="12">
        <v>6.6231454E7</v>
      </c>
      <c r="G28" s="14">
        <v>44965.691342592596</v>
      </c>
      <c r="H28" s="13"/>
      <c r="I28" s="12" t="s">
        <v>229</v>
      </c>
      <c r="J28" s="13"/>
      <c r="K28" s="12" t="s">
        <v>230</v>
      </c>
      <c r="L28" s="13"/>
      <c r="M28" s="12" t="s">
        <v>231</v>
      </c>
      <c r="N28" s="12" t="s">
        <v>232</v>
      </c>
      <c r="O28" s="13"/>
      <c r="P28" s="12" t="s">
        <v>233</v>
      </c>
      <c r="Q28" s="13"/>
      <c r="R28" s="13"/>
      <c r="S28" s="12" t="s">
        <v>234</v>
      </c>
      <c r="T28" s="12" t="s">
        <v>39</v>
      </c>
      <c r="U28" s="12">
        <v>92028.0</v>
      </c>
      <c r="V28" s="12" t="s">
        <v>40</v>
      </c>
      <c r="W28" s="13"/>
      <c r="X28" s="12">
        <v>4.422549988E9</v>
      </c>
      <c r="Y28" s="12">
        <v>4.422549988E9</v>
      </c>
      <c r="Z28" s="13"/>
      <c r="AA28" s="12" t="s">
        <v>235</v>
      </c>
      <c r="AB28" s="18"/>
      <c r="AC28" s="13"/>
      <c r="AD28" s="13"/>
      <c r="AE28" s="17">
        <v>44966.02476851852</v>
      </c>
    </row>
    <row r="29">
      <c r="A29" s="11">
        <v>3.644687E7</v>
      </c>
      <c r="B29" s="12" t="s">
        <v>173</v>
      </c>
      <c r="C29" s="12">
        <v>520.0</v>
      </c>
      <c r="D29" s="13"/>
      <c r="E29" s="13"/>
      <c r="F29" s="12">
        <v>6.8163881E7</v>
      </c>
      <c r="G29" s="14">
        <v>44965.67847222222</v>
      </c>
      <c r="H29" s="13"/>
      <c r="I29" s="12" t="s">
        <v>236</v>
      </c>
      <c r="J29" s="13"/>
      <c r="K29" s="12" t="s">
        <v>237</v>
      </c>
      <c r="L29" s="13"/>
      <c r="M29" s="12" t="s">
        <v>238</v>
      </c>
      <c r="N29" s="12" t="s">
        <v>239</v>
      </c>
      <c r="O29" s="13"/>
      <c r="P29" s="12" t="s">
        <v>240</v>
      </c>
      <c r="Q29" s="13"/>
      <c r="R29" s="13"/>
      <c r="S29" s="12" t="s">
        <v>241</v>
      </c>
      <c r="T29" s="12" t="s">
        <v>39</v>
      </c>
      <c r="U29" s="12">
        <v>91915.0</v>
      </c>
      <c r="V29" s="12" t="s">
        <v>40</v>
      </c>
      <c r="W29" s="13"/>
      <c r="X29" s="12">
        <v>1.619778593E10</v>
      </c>
      <c r="Y29" s="13"/>
      <c r="Z29" s="13"/>
      <c r="AA29" s="12" t="s">
        <v>242</v>
      </c>
      <c r="AB29" s="13"/>
      <c r="AC29" s="13"/>
      <c r="AD29" s="13"/>
      <c r="AE29" s="17">
        <v>44966.01188657407</v>
      </c>
    </row>
    <row r="30">
      <c r="A30" s="11">
        <v>3.644639E7</v>
      </c>
      <c r="B30" s="12" t="s">
        <v>32</v>
      </c>
      <c r="C30" s="12">
        <v>520.0</v>
      </c>
      <c r="D30" s="13"/>
      <c r="E30" s="13"/>
      <c r="F30" s="12">
        <v>6.9018658E7</v>
      </c>
      <c r="G30" s="14">
        <v>44965.672800925924</v>
      </c>
      <c r="H30" s="13"/>
      <c r="I30" s="12" t="s">
        <v>243</v>
      </c>
      <c r="J30" s="13"/>
      <c r="K30" s="12" t="s">
        <v>244</v>
      </c>
      <c r="L30" s="13"/>
      <c r="M30" s="12" t="s">
        <v>189</v>
      </c>
      <c r="N30" s="12" t="s">
        <v>245</v>
      </c>
      <c r="O30" s="13"/>
      <c r="P30" s="12" t="s">
        <v>246</v>
      </c>
      <c r="Q30" s="13"/>
      <c r="R30" s="13"/>
      <c r="S30" s="12" t="s">
        <v>247</v>
      </c>
      <c r="T30" s="12" t="s">
        <v>248</v>
      </c>
      <c r="U30" s="12">
        <v>23606.0</v>
      </c>
      <c r="V30" s="12" t="s">
        <v>40</v>
      </c>
      <c r="W30" s="13"/>
      <c r="X30" s="12">
        <v>7.578816E9</v>
      </c>
      <c r="Y30" s="12">
        <v>7.578816E9</v>
      </c>
      <c r="Z30" s="13"/>
      <c r="AA30" s="12" t="s">
        <v>249</v>
      </c>
      <c r="AB30" s="18"/>
      <c r="AC30" s="13"/>
      <c r="AD30" s="12" t="s">
        <v>250</v>
      </c>
      <c r="AE30" s="17">
        <v>44966.00693287037</v>
      </c>
    </row>
    <row r="31">
      <c r="A31" s="11">
        <v>3.6446141E7</v>
      </c>
      <c r="B31" s="12" t="s">
        <v>32</v>
      </c>
      <c r="C31" s="12">
        <v>520.0</v>
      </c>
      <c r="D31" s="13"/>
      <c r="E31" s="13"/>
      <c r="F31" s="12">
        <v>6.8873115E7</v>
      </c>
      <c r="G31" s="14">
        <v>44965.66916666667</v>
      </c>
      <c r="H31" s="13"/>
      <c r="I31" s="12" t="s">
        <v>251</v>
      </c>
      <c r="J31" s="13"/>
      <c r="K31" s="12" t="s">
        <v>252</v>
      </c>
      <c r="L31" s="13"/>
      <c r="M31" s="12" t="s">
        <v>253</v>
      </c>
      <c r="N31" s="12" t="s">
        <v>254</v>
      </c>
      <c r="O31" s="13"/>
      <c r="P31" s="12" t="s">
        <v>255</v>
      </c>
      <c r="Q31" s="13"/>
      <c r="R31" s="13"/>
      <c r="S31" s="12" t="s">
        <v>256</v>
      </c>
      <c r="T31" s="12" t="s">
        <v>39</v>
      </c>
      <c r="U31" s="12">
        <v>91702.0</v>
      </c>
      <c r="V31" s="12" t="s">
        <v>40</v>
      </c>
      <c r="W31" s="13"/>
      <c r="X31" s="12">
        <v>6.268401217E9</v>
      </c>
      <c r="Y31" s="12">
        <v>1.6263596972E10</v>
      </c>
      <c r="Z31" s="13"/>
      <c r="AA31" s="12" t="s">
        <v>257</v>
      </c>
      <c r="AB31" s="18"/>
      <c r="AC31" s="13"/>
      <c r="AD31" s="12" t="s">
        <v>258</v>
      </c>
      <c r="AE31" s="17">
        <v>44966.004525462966</v>
      </c>
    </row>
    <row r="32">
      <c r="A32" s="11">
        <v>3.6441454E7</v>
      </c>
      <c r="B32" s="12" t="s">
        <v>111</v>
      </c>
      <c r="C32" s="12">
        <v>520.0</v>
      </c>
      <c r="D32" s="13"/>
      <c r="E32" s="13"/>
      <c r="F32" s="12">
        <v>6.8418728E7</v>
      </c>
      <c r="G32" s="14">
        <v>44965.62391203704</v>
      </c>
      <c r="H32" s="13"/>
      <c r="I32" s="12" t="s">
        <v>259</v>
      </c>
      <c r="J32" s="13"/>
      <c r="K32" s="12" t="s">
        <v>260</v>
      </c>
      <c r="L32" s="13"/>
      <c r="M32" s="12" t="s">
        <v>261</v>
      </c>
      <c r="N32" s="12" t="s">
        <v>262</v>
      </c>
      <c r="O32" s="13"/>
      <c r="P32" s="12" t="s">
        <v>263</v>
      </c>
      <c r="Q32" s="13"/>
      <c r="R32" s="13"/>
      <c r="S32" s="12" t="s">
        <v>264</v>
      </c>
      <c r="T32" s="12" t="s">
        <v>39</v>
      </c>
      <c r="U32" s="12">
        <v>94547.0</v>
      </c>
      <c r="V32" s="12" t="s">
        <v>40</v>
      </c>
      <c r="W32" s="13"/>
      <c r="X32" s="12">
        <v>5.104211636E9</v>
      </c>
      <c r="Y32" s="12">
        <v>5.104211636E9</v>
      </c>
      <c r="Z32" s="13"/>
      <c r="AA32" s="12" t="s">
        <v>265</v>
      </c>
      <c r="AB32" s="18"/>
      <c r="AC32" s="13"/>
      <c r="AD32" s="12" t="s">
        <v>266</v>
      </c>
      <c r="AE32" s="17">
        <v>44967.125</v>
      </c>
    </row>
    <row r="33">
      <c r="A33" s="11">
        <v>3.6432719E7</v>
      </c>
      <c r="B33" s="12" t="s">
        <v>32</v>
      </c>
      <c r="C33" s="12">
        <v>520.0</v>
      </c>
      <c r="D33" s="13"/>
      <c r="E33" s="13"/>
      <c r="F33" s="12">
        <v>6.8178889E7</v>
      </c>
      <c r="G33" s="14">
        <v>44965.5571412037</v>
      </c>
      <c r="H33" s="13"/>
      <c r="I33" s="12" t="s">
        <v>267</v>
      </c>
      <c r="J33" s="13"/>
      <c r="K33" s="12" t="s">
        <v>268</v>
      </c>
      <c r="L33" s="13"/>
      <c r="M33" s="12" t="s">
        <v>269</v>
      </c>
      <c r="N33" s="12" t="s">
        <v>270</v>
      </c>
      <c r="O33" s="13"/>
      <c r="P33" s="12" t="s">
        <v>271</v>
      </c>
      <c r="Q33" s="12" t="s">
        <v>272</v>
      </c>
      <c r="R33" s="13"/>
      <c r="S33" s="12" t="s">
        <v>273</v>
      </c>
      <c r="T33" s="12" t="s">
        <v>92</v>
      </c>
      <c r="U33" s="12">
        <v>11788.0</v>
      </c>
      <c r="V33" s="12" t="s">
        <v>40</v>
      </c>
      <c r="W33" s="13"/>
      <c r="X33" s="12" t="s">
        <v>274</v>
      </c>
      <c r="Y33" s="13"/>
      <c r="Z33" s="13"/>
      <c r="AA33" s="12" t="s">
        <v>275</v>
      </c>
      <c r="AB33" s="18"/>
      <c r="AC33" s="13"/>
      <c r="AD33" s="12" t="s">
        <v>276</v>
      </c>
      <c r="AE33" s="17">
        <v>44965.90429398148</v>
      </c>
    </row>
    <row r="34">
      <c r="A34" s="11">
        <v>3.6429922E7</v>
      </c>
      <c r="B34" s="12" t="s">
        <v>111</v>
      </c>
      <c r="C34" s="12">
        <v>520.0</v>
      </c>
      <c r="D34" s="13"/>
      <c r="E34" s="13"/>
      <c r="F34" s="12">
        <v>6.8965556E7</v>
      </c>
      <c r="G34" s="14">
        <v>44965.53834490741</v>
      </c>
      <c r="H34" s="13"/>
      <c r="I34" s="12" t="s">
        <v>277</v>
      </c>
      <c r="J34" s="13"/>
      <c r="K34" s="12" t="s">
        <v>278</v>
      </c>
      <c r="L34" s="13"/>
      <c r="M34" s="12" t="s">
        <v>279</v>
      </c>
      <c r="N34" s="12" t="s">
        <v>280</v>
      </c>
      <c r="O34" s="13"/>
      <c r="P34" s="12" t="s">
        <v>281</v>
      </c>
      <c r="Q34" s="13"/>
      <c r="R34" s="13"/>
      <c r="S34" s="12" t="s">
        <v>282</v>
      </c>
      <c r="T34" s="12" t="s">
        <v>39</v>
      </c>
      <c r="U34" s="12">
        <v>94544.0</v>
      </c>
      <c r="V34" s="12" t="s">
        <v>40</v>
      </c>
      <c r="W34" s="13"/>
      <c r="X34" s="12">
        <v>5.107609073E9</v>
      </c>
      <c r="Y34" s="12">
        <v>5.10400101E9</v>
      </c>
      <c r="Z34" s="13"/>
      <c r="AA34" s="12" t="s">
        <v>283</v>
      </c>
      <c r="AB34" s="15" t="s">
        <v>53</v>
      </c>
      <c r="AC34" s="13"/>
      <c r="AD34" s="12" t="s">
        <v>284</v>
      </c>
      <c r="AE34" s="17">
        <v>44965.88789351852</v>
      </c>
    </row>
    <row r="35">
      <c r="A35" s="11">
        <v>3.6426374E7</v>
      </c>
      <c r="B35" s="12" t="s">
        <v>111</v>
      </c>
      <c r="C35" s="12">
        <v>520.0</v>
      </c>
      <c r="D35" s="13"/>
      <c r="E35" s="13"/>
      <c r="F35" s="12">
        <v>6.8759341E7</v>
      </c>
      <c r="G35" s="14">
        <v>44965.516238425924</v>
      </c>
      <c r="H35" s="13"/>
      <c r="I35" s="12" t="s">
        <v>285</v>
      </c>
      <c r="J35" s="13"/>
      <c r="K35" s="12" t="s">
        <v>286</v>
      </c>
      <c r="L35" s="13"/>
      <c r="M35" s="12" t="s">
        <v>287</v>
      </c>
      <c r="N35" s="12" t="s">
        <v>288</v>
      </c>
      <c r="O35" s="13"/>
      <c r="P35" s="12" t="s">
        <v>289</v>
      </c>
      <c r="Q35" s="13"/>
      <c r="R35" s="13"/>
      <c r="S35" s="12" t="s">
        <v>290</v>
      </c>
      <c r="T35" s="12" t="s">
        <v>39</v>
      </c>
      <c r="U35" s="12">
        <v>91745.0</v>
      </c>
      <c r="V35" s="12" t="s">
        <v>40</v>
      </c>
      <c r="W35" s="13"/>
      <c r="X35" s="12">
        <v>9.092969707E9</v>
      </c>
      <c r="Y35" s="13"/>
      <c r="Z35" s="13"/>
      <c r="AA35" s="12" t="s">
        <v>291</v>
      </c>
      <c r="AB35" s="15" t="s">
        <v>53</v>
      </c>
      <c r="AC35" s="13"/>
      <c r="AD35" s="12" t="s">
        <v>292</v>
      </c>
      <c r="AE35" s="17">
        <v>44965.85011574074</v>
      </c>
    </row>
    <row r="36">
      <c r="A36" s="11">
        <v>3.6418854E7</v>
      </c>
      <c r="B36" s="12" t="s">
        <v>32</v>
      </c>
      <c r="C36" s="12">
        <v>520.0</v>
      </c>
      <c r="D36" s="13"/>
      <c r="E36" s="13"/>
      <c r="F36" s="12">
        <v>6.9102479E7</v>
      </c>
      <c r="G36" s="14">
        <v>44965.478159722225</v>
      </c>
      <c r="H36" s="13"/>
      <c r="I36" s="12" t="s">
        <v>293</v>
      </c>
      <c r="J36" s="13"/>
      <c r="K36" s="12" t="s">
        <v>294</v>
      </c>
      <c r="L36" s="13"/>
      <c r="M36" s="12" t="s">
        <v>253</v>
      </c>
      <c r="N36" s="12" t="s">
        <v>295</v>
      </c>
      <c r="O36" s="13"/>
      <c r="P36" s="12" t="s">
        <v>296</v>
      </c>
      <c r="Q36" s="12" t="s">
        <v>297</v>
      </c>
      <c r="R36" s="13"/>
      <c r="S36" s="12" t="s">
        <v>298</v>
      </c>
      <c r="T36" s="12" t="s">
        <v>39</v>
      </c>
      <c r="U36" s="12">
        <v>92618.0</v>
      </c>
      <c r="V36" s="12" t="s">
        <v>40</v>
      </c>
      <c r="W36" s="13"/>
      <c r="X36" s="12">
        <v>9.494910797E9</v>
      </c>
      <c r="Y36" s="12">
        <v>9.493333785E9</v>
      </c>
      <c r="Z36" s="13"/>
      <c r="AA36" s="12" t="s">
        <v>299</v>
      </c>
      <c r="AB36" s="18"/>
      <c r="AC36" s="13"/>
      <c r="AD36" s="12" t="s">
        <v>300</v>
      </c>
      <c r="AE36" s="17">
        <v>44965.815347222226</v>
      </c>
    </row>
    <row r="37">
      <c r="A37" s="11">
        <v>3.6414756E7</v>
      </c>
      <c r="B37" s="12" t="s">
        <v>32</v>
      </c>
      <c r="C37" s="12">
        <v>520.0</v>
      </c>
      <c r="D37" s="13"/>
      <c r="E37" s="13"/>
      <c r="F37" s="12">
        <v>6.8139699E7</v>
      </c>
      <c r="G37" s="14">
        <v>44965.459016203706</v>
      </c>
      <c r="H37" s="13"/>
      <c r="I37" s="12" t="s">
        <v>301</v>
      </c>
      <c r="J37" s="13"/>
      <c r="K37" s="12" t="s">
        <v>302</v>
      </c>
      <c r="L37" s="13"/>
      <c r="M37" s="12" t="s">
        <v>303</v>
      </c>
      <c r="N37" s="12" t="s">
        <v>304</v>
      </c>
      <c r="O37" s="13"/>
      <c r="P37" s="12" t="s">
        <v>305</v>
      </c>
      <c r="Q37" s="12" t="s">
        <v>306</v>
      </c>
      <c r="R37" s="13"/>
      <c r="S37" s="12" t="s">
        <v>307</v>
      </c>
      <c r="T37" s="13"/>
      <c r="U37" s="12">
        <v>45010.0</v>
      </c>
      <c r="V37" s="12" t="s">
        <v>50</v>
      </c>
      <c r="W37" s="13"/>
      <c r="X37" s="13" t="str">
        <f>+52 33 2832 8694</f>
        <v>#ERROR!</v>
      </c>
      <c r="Y37" s="13" t="str">
        <f>+52 33 3777 9171</f>
        <v>#ERROR!</v>
      </c>
      <c r="Z37" s="13"/>
      <c r="AA37" s="12" t="s">
        <v>308</v>
      </c>
      <c r="AB37" s="18"/>
      <c r="AC37" s="13"/>
      <c r="AD37" s="12" t="s">
        <v>309</v>
      </c>
      <c r="AE37" s="17">
        <v>44965.79347222222</v>
      </c>
    </row>
    <row r="38">
      <c r="A38" s="11">
        <v>3.6413566E7</v>
      </c>
      <c r="B38" s="12" t="s">
        <v>32</v>
      </c>
      <c r="C38" s="12">
        <v>520.0</v>
      </c>
      <c r="D38" s="13"/>
      <c r="E38" s="13"/>
      <c r="F38" s="12">
        <v>6.8156277E7</v>
      </c>
      <c r="G38" s="14">
        <v>44965.453310185185</v>
      </c>
      <c r="H38" s="13"/>
      <c r="I38" s="12" t="s">
        <v>310</v>
      </c>
      <c r="J38" s="13"/>
      <c r="K38" s="12" t="s">
        <v>311</v>
      </c>
      <c r="L38" s="13"/>
      <c r="M38" s="12" t="s">
        <v>312</v>
      </c>
      <c r="N38" s="12" t="s">
        <v>313</v>
      </c>
      <c r="O38" s="13"/>
      <c r="P38" s="12" t="s">
        <v>314</v>
      </c>
      <c r="Q38" s="13"/>
      <c r="R38" s="13"/>
      <c r="S38" s="12" t="s">
        <v>315</v>
      </c>
      <c r="T38" s="12" t="s">
        <v>39</v>
      </c>
      <c r="U38" s="12">
        <v>92064.0</v>
      </c>
      <c r="V38" s="12" t="s">
        <v>40</v>
      </c>
      <c r="W38" s="13"/>
      <c r="X38" s="12">
        <v>7.604844903E9</v>
      </c>
      <c r="Y38" s="12">
        <v>8.584868388E9</v>
      </c>
      <c r="Z38" s="13"/>
      <c r="AA38" s="12" t="s">
        <v>316</v>
      </c>
      <c r="AB38" s="18"/>
      <c r="AC38" s="13"/>
      <c r="AD38" s="12" t="s">
        <v>317</v>
      </c>
      <c r="AE38" s="17">
        <v>44965.788831018515</v>
      </c>
    </row>
    <row r="39">
      <c r="A39" s="11">
        <v>3.6412514E7</v>
      </c>
      <c r="B39" s="12" t="s">
        <v>173</v>
      </c>
      <c r="C39" s="12">
        <v>520.0</v>
      </c>
      <c r="D39" s="13"/>
      <c r="E39" s="12" t="s">
        <v>211</v>
      </c>
      <c r="F39" s="12">
        <v>6.8990716E7</v>
      </c>
      <c r="G39" s="14">
        <v>44965.4474537037</v>
      </c>
      <c r="H39" s="13"/>
      <c r="I39" s="12" t="s">
        <v>318</v>
      </c>
      <c r="J39" s="13"/>
      <c r="K39" s="12" t="s">
        <v>319</v>
      </c>
      <c r="L39" s="13"/>
      <c r="M39" s="12" t="s">
        <v>320</v>
      </c>
      <c r="N39" s="12" t="s">
        <v>321</v>
      </c>
      <c r="O39" s="13"/>
      <c r="P39" s="12" t="s">
        <v>322</v>
      </c>
      <c r="Q39" s="13"/>
      <c r="R39" s="13"/>
      <c r="S39" s="12" t="s">
        <v>323</v>
      </c>
      <c r="T39" s="12" t="s">
        <v>39</v>
      </c>
      <c r="U39" s="12">
        <v>92029.0</v>
      </c>
      <c r="V39" s="12" t="s">
        <v>40</v>
      </c>
      <c r="W39" s="13"/>
      <c r="X39" s="12">
        <v>7.609177677E9</v>
      </c>
      <c r="Y39" s="13"/>
      <c r="Z39" s="13"/>
      <c r="AA39" s="12" t="s">
        <v>324</v>
      </c>
      <c r="AB39" s="13"/>
      <c r="AC39" s="13"/>
      <c r="AD39" s="12" t="s">
        <v>325</v>
      </c>
      <c r="AE39" s="17">
        <v>44965.785</v>
      </c>
    </row>
    <row r="40">
      <c r="A40" s="11">
        <v>3.6411574E7</v>
      </c>
      <c r="B40" s="12" t="s">
        <v>32</v>
      </c>
      <c r="C40" s="12">
        <v>520.0</v>
      </c>
      <c r="D40" s="13"/>
      <c r="E40" s="12" t="s">
        <v>326</v>
      </c>
      <c r="F40" s="12">
        <v>6.884082E7</v>
      </c>
      <c r="G40" s="14">
        <v>44965.44186342593</v>
      </c>
      <c r="H40" s="13"/>
      <c r="I40" s="12" t="s">
        <v>327</v>
      </c>
      <c r="J40" s="13"/>
      <c r="K40" s="12" t="s">
        <v>328</v>
      </c>
      <c r="L40" s="13"/>
      <c r="M40" s="12" t="s">
        <v>329</v>
      </c>
      <c r="N40" s="12" t="s">
        <v>330</v>
      </c>
      <c r="O40" s="13"/>
      <c r="P40" s="12" t="s">
        <v>331</v>
      </c>
      <c r="Q40" s="13"/>
      <c r="R40" s="13"/>
      <c r="S40" s="12" t="s">
        <v>298</v>
      </c>
      <c r="T40" s="12" t="s">
        <v>39</v>
      </c>
      <c r="U40" s="12">
        <v>92620.0</v>
      </c>
      <c r="V40" s="12" t="s">
        <v>40</v>
      </c>
      <c r="W40" s="13"/>
      <c r="X40" s="12">
        <v>2.163758087E9</v>
      </c>
      <c r="Y40" s="13"/>
      <c r="Z40" s="13"/>
      <c r="AA40" s="12" t="s">
        <v>332</v>
      </c>
      <c r="AB40" s="18"/>
      <c r="AC40" s="13"/>
      <c r="AD40" s="12" t="s">
        <v>333</v>
      </c>
      <c r="AE40" s="17">
        <v>44965.785416666666</v>
      </c>
    </row>
    <row r="41">
      <c r="A41" s="11">
        <v>3.6409117E7</v>
      </c>
      <c r="B41" s="12" t="s">
        <v>173</v>
      </c>
      <c r="C41" s="12">
        <v>520.0</v>
      </c>
      <c r="D41" s="13"/>
      <c r="E41" s="12" t="s">
        <v>187</v>
      </c>
      <c r="F41" s="12">
        <v>6.7870916E7</v>
      </c>
      <c r="G41" s="14">
        <v>44965.42128472222</v>
      </c>
      <c r="H41" s="13"/>
      <c r="I41" s="12" t="s">
        <v>334</v>
      </c>
      <c r="J41" s="13"/>
      <c r="K41" s="12" t="s">
        <v>335</v>
      </c>
      <c r="L41" s="13"/>
      <c r="M41" s="12" t="s">
        <v>114</v>
      </c>
      <c r="N41" s="12" t="s">
        <v>336</v>
      </c>
      <c r="O41" s="13"/>
      <c r="P41" s="12" t="s">
        <v>337</v>
      </c>
      <c r="Q41" s="13"/>
      <c r="R41" s="13"/>
      <c r="S41" s="12" t="s">
        <v>338</v>
      </c>
      <c r="T41" s="12" t="s">
        <v>339</v>
      </c>
      <c r="U41" s="12">
        <v>32836.0</v>
      </c>
      <c r="V41" s="12" t="s">
        <v>40</v>
      </c>
      <c r="W41" s="13"/>
      <c r="X41" s="12" t="s">
        <v>340</v>
      </c>
      <c r="Y41" s="13"/>
      <c r="Z41" s="13"/>
      <c r="AA41" s="12" t="s">
        <v>341</v>
      </c>
      <c r="AB41" s="13"/>
      <c r="AC41" s="13"/>
      <c r="AD41" s="12" t="s">
        <v>342</v>
      </c>
      <c r="AE41" s="17">
        <v>44965.755162037036</v>
      </c>
    </row>
    <row r="42">
      <c r="A42" s="11">
        <v>3.6408959E7</v>
      </c>
      <c r="B42" s="12" t="s">
        <v>173</v>
      </c>
      <c r="C42" s="12">
        <v>520.0</v>
      </c>
      <c r="D42" s="13"/>
      <c r="E42" s="12" t="s">
        <v>326</v>
      </c>
      <c r="F42" s="12">
        <v>6.89621E7</v>
      </c>
      <c r="G42" s="14">
        <v>44965.418645833335</v>
      </c>
      <c r="H42" s="13"/>
      <c r="I42" s="12" t="s">
        <v>343</v>
      </c>
      <c r="J42" s="13"/>
      <c r="K42" s="12" t="s">
        <v>344</v>
      </c>
      <c r="L42" s="13"/>
      <c r="M42" s="12" t="s">
        <v>197</v>
      </c>
      <c r="N42" s="12" t="s">
        <v>345</v>
      </c>
      <c r="O42" s="13"/>
      <c r="P42" s="12" t="s">
        <v>346</v>
      </c>
      <c r="Q42" s="13"/>
      <c r="R42" s="13"/>
      <c r="S42" s="12" t="s">
        <v>347</v>
      </c>
      <c r="T42" s="12" t="s">
        <v>39</v>
      </c>
      <c r="U42" s="12">
        <v>94070.0</v>
      </c>
      <c r="V42" s="12" t="s">
        <v>40</v>
      </c>
      <c r="W42" s="13"/>
      <c r="X42" s="12">
        <v>4.018246037E9</v>
      </c>
      <c r="Y42" s="13"/>
      <c r="Z42" s="13"/>
      <c r="AA42" s="12" t="s">
        <v>348</v>
      </c>
      <c r="AB42" s="13"/>
      <c r="AC42" s="13"/>
      <c r="AD42" s="12" t="s">
        <v>349</v>
      </c>
      <c r="AE42" s="17">
        <v>44965.84805555556</v>
      </c>
    </row>
    <row r="43">
      <c r="A43" s="11">
        <v>3.6408798E7</v>
      </c>
      <c r="B43" s="12" t="s">
        <v>32</v>
      </c>
      <c r="C43" s="12">
        <v>520.0</v>
      </c>
      <c r="D43" s="13"/>
      <c r="E43" s="13"/>
      <c r="F43" s="12">
        <v>6.8451631E7</v>
      </c>
      <c r="G43" s="14">
        <v>44965.41542824074</v>
      </c>
      <c r="H43" s="13"/>
      <c r="I43" s="12" t="s">
        <v>350</v>
      </c>
      <c r="J43" s="13"/>
      <c r="K43" s="12" t="s">
        <v>351</v>
      </c>
      <c r="L43" s="13"/>
      <c r="M43" s="12" t="s">
        <v>80</v>
      </c>
      <c r="N43" s="12" t="s">
        <v>115</v>
      </c>
      <c r="O43" s="13"/>
      <c r="P43" s="12" t="s">
        <v>116</v>
      </c>
      <c r="Q43" s="12" t="s">
        <v>117</v>
      </c>
      <c r="R43" s="13"/>
      <c r="S43" s="12" t="s">
        <v>118</v>
      </c>
      <c r="T43" s="13"/>
      <c r="U43" s="12">
        <v>4040.0</v>
      </c>
      <c r="V43" s="12" t="s">
        <v>50</v>
      </c>
      <c r="W43" s="13"/>
      <c r="X43" s="13">
        <f>+525510886598</f>
        <v>525510886598</v>
      </c>
      <c r="Y43" s="13"/>
      <c r="Z43" s="13"/>
      <c r="AA43" s="12" t="s">
        <v>352</v>
      </c>
      <c r="AB43" s="18"/>
      <c r="AC43" s="13"/>
      <c r="AD43" s="12" t="s">
        <v>353</v>
      </c>
      <c r="AE43" s="17">
        <v>44965.75829861111</v>
      </c>
    </row>
    <row r="44">
      <c r="A44" s="11">
        <v>3.640876E7</v>
      </c>
      <c r="B44" s="12" t="s">
        <v>111</v>
      </c>
      <c r="C44" s="12">
        <v>520.0</v>
      </c>
      <c r="D44" s="13"/>
      <c r="E44" s="13"/>
      <c r="F44" s="12">
        <v>6.8605206E7</v>
      </c>
      <c r="G44" s="14">
        <v>44965.41475694445</v>
      </c>
      <c r="H44" s="13"/>
      <c r="I44" s="12" t="s">
        <v>354</v>
      </c>
      <c r="J44" s="13"/>
      <c r="K44" s="12" t="s">
        <v>355</v>
      </c>
      <c r="L44" s="13"/>
      <c r="M44" s="12" t="s">
        <v>356</v>
      </c>
      <c r="N44" s="12" t="s">
        <v>357</v>
      </c>
      <c r="O44" s="13"/>
      <c r="P44" s="12" t="s">
        <v>358</v>
      </c>
      <c r="Q44" s="13"/>
      <c r="R44" s="13"/>
      <c r="S44" s="12" t="s">
        <v>359</v>
      </c>
      <c r="T44" s="12" t="s">
        <v>39</v>
      </c>
      <c r="U44" s="12">
        <v>91730.0</v>
      </c>
      <c r="V44" s="12" t="s">
        <v>40</v>
      </c>
      <c r="W44" s="13"/>
      <c r="X44" s="12">
        <v>9.519061795E9</v>
      </c>
      <c r="Y44" s="12">
        <v>9.519061795E9</v>
      </c>
      <c r="Z44" s="13"/>
      <c r="AA44" s="12" t="s">
        <v>360</v>
      </c>
      <c r="AB44" s="15" t="s">
        <v>53</v>
      </c>
      <c r="AC44" s="13"/>
      <c r="AD44" s="12" t="s">
        <v>361</v>
      </c>
      <c r="AE44" s="17">
        <v>44965.74930555555</v>
      </c>
    </row>
    <row r="45">
      <c r="A45" s="11">
        <v>3.6408328E7</v>
      </c>
      <c r="B45" s="12" t="s">
        <v>173</v>
      </c>
      <c r="C45" s="12">
        <v>520.0</v>
      </c>
      <c r="D45" s="13"/>
      <c r="E45" s="12" t="s">
        <v>326</v>
      </c>
      <c r="F45" s="12">
        <v>6.8957326E7</v>
      </c>
      <c r="G45" s="14">
        <v>44965.40225694444</v>
      </c>
      <c r="H45" s="13"/>
      <c r="I45" s="12" t="s">
        <v>362</v>
      </c>
      <c r="J45" s="13"/>
      <c r="K45" s="12" t="s">
        <v>363</v>
      </c>
      <c r="L45" s="13"/>
      <c r="M45" s="12" t="s">
        <v>364</v>
      </c>
      <c r="N45" s="12" t="s">
        <v>365</v>
      </c>
      <c r="O45" s="13"/>
      <c r="P45" s="12" t="s">
        <v>366</v>
      </c>
      <c r="Q45" s="13"/>
      <c r="R45" s="13"/>
      <c r="S45" s="12" t="s">
        <v>367</v>
      </c>
      <c r="T45" s="12" t="s">
        <v>39</v>
      </c>
      <c r="U45" s="12">
        <v>92011.0</v>
      </c>
      <c r="V45" s="12" t="s">
        <v>40</v>
      </c>
      <c r="W45" s="13"/>
      <c r="X45" s="12" t="s">
        <v>368</v>
      </c>
      <c r="Y45" s="12" t="s">
        <v>369</v>
      </c>
      <c r="Z45" s="13"/>
      <c r="AA45" s="12" t="s">
        <v>370</v>
      </c>
      <c r="AB45" s="13"/>
      <c r="AC45" s="13"/>
      <c r="AD45" s="12" t="s">
        <v>371</v>
      </c>
      <c r="AE45" s="17">
        <v>44965.742893518516</v>
      </c>
    </row>
    <row r="46">
      <c r="A46" s="11">
        <v>3.6408006E7</v>
      </c>
      <c r="B46" s="12" t="s">
        <v>32</v>
      </c>
      <c r="C46" s="12">
        <v>520.0</v>
      </c>
      <c r="D46" s="13"/>
      <c r="E46" s="13"/>
      <c r="F46" s="12">
        <v>6.8551691E7</v>
      </c>
      <c r="G46" s="14">
        <v>44965.39625</v>
      </c>
      <c r="H46" s="13"/>
      <c r="I46" s="12" t="s">
        <v>372</v>
      </c>
      <c r="J46" s="13"/>
      <c r="K46" s="12" t="s">
        <v>373</v>
      </c>
      <c r="L46" s="13"/>
      <c r="M46" s="12" t="s">
        <v>189</v>
      </c>
      <c r="N46" s="12" t="s">
        <v>374</v>
      </c>
      <c r="O46" s="13"/>
      <c r="P46" s="12" t="s">
        <v>375</v>
      </c>
      <c r="Q46" s="13"/>
      <c r="R46" s="13"/>
      <c r="S46" s="12" t="s">
        <v>376</v>
      </c>
      <c r="T46" s="12" t="s">
        <v>39</v>
      </c>
      <c r="U46" s="12">
        <v>95630.0</v>
      </c>
      <c r="V46" s="12" t="s">
        <v>40</v>
      </c>
      <c r="W46" s="13"/>
      <c r="X46" s="12">
        <v>8.188540678E9</v>
      </c>
      <c r="Y46" s="12">
        <v>9.164672102E9</v>
      </c>
      <c r="Z46" s="13"/>
      <c r="AA46" s="12" t="s">
        <v>377</v>
      </c>
      <c r="AB46" s="18"/>
      <c r="AC46" s="13"/>
      <c r="AD46" s="12" t="s">
        <v>378</v>
      </c>
      <c r="AE46" s="17">
        <v>44965.730046296296</v>
      </c>
    </row>
    <row r="47">
      <c r="A47" s="11">
        <v>3.6407096E7</v>
      </c>
      <c r="B47" s="12" t="s">
        <v>32</v>
      </c>
      <c r="C47" s="12">
        <v>520.0</v>
      </c>
      <c r="D47" s="13"/>
      <c r="E47" s="13"/>
      <c r="F47" s="12">
        <v>6.903128E7</v>
      </c>
      <c r="G47" s="14">
        <v>44965.370416666665</v>
      </c>
      <c r="H47" s="13"/>
      <c r="I47" s="12" t="s">
        <v>379</v>
      </c>
      <c r="J47" s="13"/>
      <c r="K47" s="12" t="s">
        <v>380</v>
      </c>
      <c r="L47" s="13"/>
      <c r="M47" s="12" t="s">
        <v>381</v>
      </c>
      <c r="N47" s="12" t="s">
        <v>206</v>
      </c>
      <c r="O47" s="13"/>
      <c r="P47" s="13"/>
      <c r="Q47" s="13"/>
      <c r="R47" s="13"/>
      <c r="S47" s="13"/>
      <c r="T47" s="13"/>
      <c r="U47" s="13"/>
      <c r="V47" s="13"/>
      <c r="W47" s="13"/>
      <c r="X47" s="13"/>
      <c r="Y47" s="13"/>
      <c r="Z47" s="13"/>
      <c r="AA47" s="12" t="s">
        <v>382</v>
      </c>
      <c r="AB47" s="18"/>
      <c r="AC47" s="13"/>
      <c r="AD47" s="13"/>
      <c r="AE47" s="17">
        <v>44965.70390046296</v>
      </c>
    </row>
    <row r="48">
      <c r="A48" s="11">
        <v>3.6392326E7</v>
      </c>
      <c r="B48" s="12" t="s">
        <v>173</v>
      </c>
      <c r="C48" s="12">
        <v>520.0</v>
      </c>
      <c r="D48" s="13"/>
      <c r="E48" s="13"/>
      <c r="F48" s="12">
        <v>6.889484E7</v>
      </c>
      <c r="G48" s="14">
        <v>44964.69604166667</v>
      </c>
      <c r="H48" s="13"/>
      <c r="I48" s="12" t="s">
        <v>383</v>
      </c>
      <c r="J48" s="13"/>
      <c r="K48" s="12" t="s">
        <v>384</v>
      </c>
      <c r="L48" s="13"/>
      <c r="M48" s="12" t="s">
        <v>253</v>
      </c>
      <c r="N48" s="12" t="s">
        <v>385</v>
      </c>
      <c r="O48" s="13"/>
      <c r="P48" s="12" t="s">
        <v>386</v>
      </c>
      <c r="Q48" s="12" t="s">
        <v>387</v>
      </c>
      <c r="R48" s="13"/>
      <c r="S48" s="12" t="s">
        <v>388</v>
      </c>
      <c r="T48" s="13"/>
      <c r="U48" s="12">
        <v>3910.0</v>
      </c>
      <c r="V48" s="12" t="s">
        <v>50</v>
      </c>
      <c r="W48" s="13"/>
      <c r="X48" s="12">
        <v>5.539054436E9</v>
      </c>
      <c r="Y48" s="12">
        <v>5.539054436E9</v>
      </c>
      <c r="Z48" s="13"/>
      <c r="AA48" s="12" t="s">
        <v>386</v>
      </c>
      <c r="AB48" s="13"/>
      <c r="AC48" s="13"/>
      <c r="AD48" s="12" t="s">
        <v>389</v>
      </c>
      <c r="AE48" s="17">
        <v>44965.02984953704</v>
      </c>
    </row>
    <row r="49">
      <c r="A49" s="11">
        <v>3.6389876E7</v>
      </c>
      <c r="B49" s="12" t="s">
        <v>173</v>
      </c>
      <c r="C49" s="12">
        <v>520.0</v>
      </c>
      <c r="D49" s="13"/>
      <c r="E49" s="13"/>
      <c r="F49" s="12">
        <v>6.8757968E7</v>
      </c>
      <c r="G49" s="14">
        <v>44964.66898148148</v>
      </c>
      <c r="H49" s="13"/>
      <c r="I49" s="12" t="s">
        <v>390</v>
      </c>
      <c r="J49" s="13"/>
      <c r="K49" s="12" t="s">
        <v>391</v>
      </c>
      <c r="L49" s="13"/>
      <c r="M49" s="12" t="s">
        <v>392</v>
      </c>
      <c r="N49" s="12" t="s">
        <v>393</v>
      </c>
      <c r="O49" s="13"/>
      <c r="P49" s="12" t="s">
        <v>394</v>
      </c>
      <c r="Q49" s="13"/>
      <c r="R49" s="13"/>
      <c r="S49" s="12" t="s">
        <v>290</v>
      </c>
      <c r="T49" s="12" t="s">
        <v>39</v>
      </c>
      <c r="U49" s="12">
        <v>91745.0</v>
      </c>
      <c r="V49" s="12" t="s">
        <v>40</v>
      </c>
      <c r="W49" s="13"/>
      <c r="X49" s="12">
        <v>9.09815487E9</v>
      </c>
      <c r="Y49" s="12">
        <v>6.263223242E9</v>
      </c>
      <c r="Z49" s="13"/>
      <c r="AA49" s="12" t="s">
        <v>395</v>
      </c>
      <c r="AB49" s="13"/>
      <c r="AC49" s="13"/>
      <c r="AD49" s="12" t="s">
        <v>396</v>
      </c>
      <c r="AE49" s="17">
        <v>44965.002604166664</v>
      </c>
    </row>
    <row r="50">
      <c r="A50" s="11">
        <v>3.6388657E7</v>
      </c>
      <c r="B50" s="12" t="s">
        <v>173</v>
      </c>
      <c r="C50" s="12">
        <v>520.0</v>
      </c>
      <c r="D50" s="13"/>
      <c r="E50" s="13"/>
      <c r="F50" s="12">
        <v>6.9039401E7</v>
      </c>
      <c r="G50" s="14">
        <v>44964.65795138889</v>
      </c>
      <c r="H50" s="13"/>
      <c r="I50" s="12" t="s">
        <v>397</v>
      </c>
      <c r="J50" s="13"/>
      <c r="K50" s="12" t="s">
        <v>398</v>
      </c>
      <c r="L50" s="13"/>
      <c r="M50" s="12" t="s">
        <v>399</v>
      </c>
      <c r="N50" s="12" t="s">
        <v>400</v>
      </c>
      <c r="O50" s="13"/>
      <c r="P50" s="12" t="s">
        <v>401</v>
      </c>
      <c r="Q50" s="13"/>
      <c r="R50" s="13"/>
      <c r="S50" s="12" t="s">
        <v>402</v>
      </c>
      <c r="T50" s="12" t="s">
        <v>339</v>
      </c>
      <c r="U50" s="12">
        <v>33014.0</v>
      </c>
      <c r="V50" s="12" t="s">
        <v>40</v>
      </c>
      <c r="W50" s="13"/>
      <c r="X50" s="12">
        <v>3.057648836E9</v>
      </c>
      <c r="Y50" s="12">
        <v>3.057648836E9</v>
      </c>
      <c r="Z50" s="13"/>
      <c r="AA50" s="12" t="s">
        <v>403</v>
      </c>
      <c r="AB50" s="13"/>
      <c r="AC50" s="13"/>
      <c r="AD50" s="12" t="s">
        <v>404</v>
      </c>
      <c r="AE50" s="17">
        <v>44965.00236111111</v>
      </c>
    </row>
    <row r="51">
      <c r="A51" s="11">
        <v>3.6377584E7</v>
      </c>
      <c r="B51" s="12" t="s">
        <v>111</v>
      </c>
      <c r="C51" s="12">
        <v>520.0</v>
      </c>
      <c r="D51" s="13"/>
      <c r="E51" s="13"/>
      <c r="F51" s="12">
        <v>6.8760884E7</v>
      </c>
      <c r="G51" s="14">
        <v>44964.567083333335</v>
      </c>
      <c r="H51" s="13"/>
      <c r="I51" s="12" t="s">
        <v>405</v>
      </c>
      <c r="J51" s="13"/>
      <c r="K51" s="12" t="s">
        <v>406</v>
      </c>
      <c r="L51" s="13"/>
      <c r="M51" s="12" t="s">
        <v>114</v>
      </c>
      <c r="N51" s="12" t="s">
        <v>407</v>
      </c>
      <c r="O51" s="13"/>
      <c r="P51" s="12" t="s">
        <v>408</v>
      </c>
      <c r="Q51" s="13"/>
      <c r="R51" s="13"/>
      <c r="S51" s="12" t="s">
        <v>409</v>
      </c>
      <c r="T51" s="12" t="s">
        <v>410</v>
      </c>
      <c r="U51" s="12">
        <v>98022.0</v>
      </c>
      <c r="V51" s="12" t="s">
        <v>40</v>
      </c>
      <c r="W51" s="13"/>
      <c r="X51" s="12">
        <v>3.604093355E9</v>
      </c>
      <c r="Y51" s="13"/>
      <c r="Z51" s="13"/>
      <c r="AA51" s="12" t="s">
        <v>411</v>
      </c>
      <c r="AB51" s="18"/>
      <c r="AC51" s="13"/>
      <c r="AD51" s="12" t="s">
        <v>412</v>
      </c>
      <c r="AE51" s="17">
        <v>44964.90085648148</v>
      </c>
    </row>
    <row r="52">
      <c r="A52" s="11">
        <v>3.6377436E7</v>
      </c>
      <c r="B52" s="12" t="s">
        <v>111</v>
      </c>
      <c r="C52" s="12">
        <v>520.0</v>
      </c>
      <c r="D52" s="13"/>
      <c r="E52" s="13"/>
      <c r="F52" s="12">
        <v>6.9011917E7</v>
      </c>
      <c r="G52" s="14">
        <v>44964.56576388889</v>
      </c>
      <c r="H52" s="13"/>
      <c r="I52" s="12" t="s">
        <v>413</v>
      </c>
      <c r="J52" s="13"/>
      <c r="K52" s="12" t="s">
        <v>414</v>
      </c>
      <c r="L52" s="13"/>
      <c r="M52" s="12" t="s">
        <v>88</v>
      </c>
      <c r="N52" s="12" t="s">
        <v>415</v>
      </c>
      <c r="O52" s="13"/>
      <c r="P52" s="12" t="s">
        <v>416</v>
      </c>
      <c r="Q52" s="12" t="s">
        <v>417</v>
      </c>
      <c r="R52" s="13"/>
      <c r="S52" s="12" t="s">
        <v>418</v>
      </c>
      <c r="T52" s="13"/>
      <c r="U52" s="12">
        <v>523808.0</v>
      </c>
      <c r="V52" s="12" t="s">
        <v>419</v>
      </c>
      <c r="W52" s="13"/>
      <c r="X52" s="12">
        <v>1.3380181232E10</v>
      </c>
      <c r="Y52" s="12">
        <v>1.3380181232E10</v>
      </c>
      <c r="Z52" s="13"/>
      <c r="AA52" s="12" t="s">
        <v>420</v>
      </c>
      <c r="AB52" s="15" t="s">
        <v>53</v>
      </c>
      <c r="AC52" s="13"/>
      <c r="AD52" s="12" t="s">
        <v>421</v>
      </c>
      <c r="AE52" s="17">
        <v>44964.89949074074</v>
      </c>
    </row>
    <row r="53">
      <c r="A53" s="11">
        <v>3.6368607E7</v>
      </c>
      <c r="B53" s="12" t="s">
        <v>173</v>
      </c>
      <c r="C53" s="12">
        <v>520.0</v>
      </c>
      <c r="D53" s="13"/>
      <c r="E53" s="13"/>
      <c r="F53" s="12">
        <v>6.6223213E7</v>
      </c>
      <c r="G53" s="14">
        <v>44964.50472222222</v>
      </c>
      <c r="H53" s="13"/>
      <c r="I53" s="12" t="s">
        <v>422</v>
      </c>
      <c r="J53" s="13"/>
      <c r="K53" s="12" t="s">
        <v>423</v>
      </c>
      <c r="L53" s="13"/>
      <c r="M53" s="12" t="s">
        <v>424</v>
      </c>
      <c r="N53" s="12" t="s">
        <v>425</v>
      </c>
      <c r="O53" s="13"/>
      <c r="P53" s="12" t="s">
        <v>426</v>
      </c>
      <c r="Q53" s="12" t="s">
        <v>427</v>
      </c>
      <c r="R53" s="13"/>
      <c r="S53" s="12" t="s">
        <v>428</v>
      </c>
      <c r="T53" s="12" t="s">
        <v>39</v>
      </c>
      <c r="U53" s="12">
        <v>91107.0</v>
      </c>
      <c r="V53" s="12" t="s">
        <v>40</v>
      </c>
      <c r="W53" s="13"/>
      <c r="X53" s="12">
        <v>8.182616263E9</v>
      </c>
      <c r="Y53" s="13"/>
      <c r="Z53" s="13"/>
      <c r="AA53" s="12" t="s">
        <v>429</v>
      </c>
      <c r="AB53" s="13"/>
      <c r="AC53" s="13"/>
      <c r="AD53" s="13"/>
      <c r="AE53" s="17">
        <v>44964.83809027778</v>
      </c>
    </row>
    <row r="54">
      <c r="A54" s="11">
        <v>3.6362367E7</v>
      </c>
      <c r="B54" s="12" t="s">
        <v>111</v>
      </c>
      <c r="C54" s="12">
        <v>520.0</v>
      </c>
      <c r="D54" s="13"/>
      <c r="E54" s="13"/>
      <c r="F54" s="12">
        <v>6.7595271E7</v>
      </c>
      <c r="G54" s="14">
        <v>44964.468564814815</v>
      </c>
      <c r="H54" s="13"/>
      <c r="I54" s="12" t="s">
        <v>430</v>
      </c>
      <c r="J54" s="13"/>
      <c r="K54" s="12" t="s">
        <v>431</v>
      </c>
      <c r="L54" s="13"/>
      <c r="M54" s="12" t="s">
        <v>432</v>
      </c>
      <c r="N54" s="12" t="s">
        <v>433</v>
      </c>
      <c r="O54" s="13"/>
      <c r="P54" s="12" t="s">
        <v>434</v>
      </c>
      <c r="Q54" s="13"/>
      <c r="R54" s="13"/>
      <c r="S54" s="12" t="s">
        <v>435</v>
      </c>
      <c r="T54" s="12" t="s">
        <v>436</v>
      </c>
      <c r="U54" s="12">
        <v>89144.0</v>
      </c>
      <c r="V54" s="12" t="s">
        <v>40</v>
      </c>
      <c r="W54" s="13"/>
      <c r="X54" s="12" t="s">
        <v>437</v>
      </c>
      <c r="Y54" s="13"/>
      <c r="Z54" s="13"/>
      <c r="AA54" s="12" t="s">
        <v>438</v>
      </c>
      <c r="AB54" s="18"/>
      <c r="AC54" s="13"/>
      <c r="AD54" s="12" t="s">
        <v>439</v>
      </c>
      <c r="AE54" s="17">
        <v>44964.80269675926</v>
      </c>
    </row>
    <row r="55">
      <c r="A55" s="11">
        <v>3.6361013E7</v>
      </c>
      <c r="B55" s="12" t="s">
        <v>173</v>
      </c>
      <c r="C55" s="12">
        <v>520.0</v>
      </c>
      <c r="D55" s="13"/>
      <c r="E55" s="13"/>
      <c r="F55" s="12">
        <v>6.8514834E7</v>
      </c>
      <c r="G55" s="14">
        <v>44964.45978009259</v>
      </c>
      <c r="H55" s="13"/>
      <c r="I55" s="12" t="s">
        <v>440</v>
      </c>
      <c r="J55" s="13"/>
      <c r="K55" s="12" t="s">
        <v>441</v>
      </c>
      <c r="L55" s="13"/>
      <c r="M55" s="12" t="s">
        <v>442</v>
      </c>
      <c r="N55" s="12" t="s">
        <v>443</v>
      </c>
      <c r="O55" s="13"/>
      <c r="P55" s="12" t="s">
        <v>444</v>
      </c>
      <c r="Q55" s="13"/>
      <c r="R55" s="13"/>
      <c r="S55" s="12" t="s">
        <v>445</v>
      </c>
      <c r="T55" s="12" t="s">
        <v>170</v>
      </c>
      <c r="U55" s="12">
        <v>1720.0</v>
      </c>
      <c r="V55" s="12" t="s">
        <v>40</v>
      </c>
      <c r="W55" s="13"/>
      <c r="X55" s="12" t="s">
        <v>446</v>
      </c>
      <c r="Y55" s="12" t="s">
        <v>447</v>
      </c>
      <c r="Z55" s="13"/>
      <c r="AA55" s="12" t="s">
        <v>448</v>
      </c>
      <c r="AB55" s="13"/>
      <c r="AC55" s="13"/>
      <c r="AD55" s="13"/>
      <c r="AE55" s="17">
        <v>44964.793125</v>
      </c>
    </row>
    <row r="56">
      <c r="A56" s="11">
        <v>3.6360136E7</v>
      </c>
      <c r="B56" s="12" t="s">
        <v>173</v>
      </c>
      <c r="C56" s="12">
        <v>520.0</v>
      </c>
      <c r="D56" s="13"/>
      <c r="E56" s="13"/>
      <c r="F56" s="12">
        <v>6.9044233E7</v>
      </c>
      <c r="G56" s="14">
        <v>44964.453680555554</v>
      </c>
      <c r="H56" s="13"/>
      <c r="I56" s="12" t="s">
        <v>449</v>
      </c>
      <c r="J56" s="13"/>
      <c r="K56" s="12" t="s">
        <v>450</v>
      </c>
      <c r="L56" s="13"/>
      <c r="M56" s="12" t="s">
        <v>451</v>
      </c>
      <c r="N56" s="12" t="s">
        <v>452</v>
      </c>
      <c r="O56" s="13"/>
      <c r="P56" s="12" t="s">
        <v>453</v>
      </c>
      <c r="Q56" s="13"/>
      <c r="R56" s="13"/>
      <c r="S56" s="12" t="s">
        <v>298</v>
      </c>
      <c r="T56" s="12" t="s">
        <v>39</v>
      </c>
      <c r="U56" s="12">
        <v>92602.0</v>
      </c>
      <c r="V56" s="12" t="s">
        <v>40</v>
      </c>
      <c r="W56" s="13"/>
      <c r="X56" s="12">
        <v>7.323406023E9</v>
      </c>
      <c r="Y56" s="12">
        <v>7.323406023E9</v>
      </c>
      <c r="Z56" s="13"/>
      <c r="AA56" s="12" t="s">
        <v>454</v>
      </c>
      <c r="AB56" s="13"/>
      <c r="AC56" s="13"/>
      <c r="AD56" s="12" t="s">
        <v>455</v>
      </c>
      <c r="AE56" s="17">
        <v>44965.01016203704</v>
      </c>
    </row>
    <row r="57">
      <c r="A57" s="11">
        <v>3.6359892E7</v>
      </c>
      <c r="B57" s="12" t="s">
        <v>173</v>
      </c>
      <c r="C57" s="12">
        <v>520.0</v>
      </c>
      <c r="D57" s="13"/>
      <c r="E57" s="13"/>
      <c r="F57" s="12">
        <v>6.8378275E7</v>
      </c>
      <c r="G57" s="14">
        <v>44964.451886574076</v>
      </c>
      <c r="H57" s="13"/>
      <c r="I57" s="12" t="s">
        <v>285</v>
      </c>
      <c r="J57" s="13"/>
      <c r="K57" s="12" t="s">
        <v>456</v>
      </c>
      <c r="L57" s="13"/>
      <c r="M57" s="12" t="s">
        <v>105</v>
      </c>
      <c r="N57" s="12" t="s">
        <v>457</v>
      </c>
      <c r="O57" s="13"/>
      <c r="P57" s="12" t="s">
        <v>458</v>
      </c>
      <c r="Q57" s="13"/>
      <c r="R57" s="13"/>
      <c r="S57" s="12" t="s">
        <v>459</v>
      </c>
      <c r="T57" s="12" t="s">
        <v>39</v>
      </c>
      <c r="U57" s="12">
        <v>93021.0</v>
      </c>
      <c r="V57" s="12" t="s">
        <v>40</v>
      </c>
      <c r="W57" s="13"/>
      <c r="X57" s="12" t="s">
        <v>460</v>
      </c>
      <c r="Y57" s="13"/>
      <c r="Z57" s="13"/>
      <c r="AA57" s="12" t="s">
        <v>461</v>
      </c>
      <c r="AB57" s="13"/>
      <c r="AC57" s="13"/>
      <c r="AD57" s="13"/>
      <c r="AE57" s="17">
        <v>44964.785266203704</v>
      </c>
    </row>
    <row r="58">
      <c r="A58" s="11">
        <v>3.6359136E7</v>
      </c>
      <c r="B58" s="12" t="s">
        <v>173</v>
      </c>
      <c r="C58" s="12">
        <v>520.0</v>
      </c>
      <c r="D58" s="13"/>
      <c r="E58" s="13"/>
      <c r="F58" s="12">
        <v>6.9020053E7</v>
      </c>
      <c r="G58" s="14">
        <v>44964.44578703704</v>
      </c>
      <c r="H58" s="13"/>
      <c r="I58" s="12" t="s">
        <v>462</v>
      </c>
      <c r="J58" s="13"/>
      <c r="K58" s="12" t="s">
        <v>463</v>
      </c>
      <c r="L58" s="13"/>
      <c r="M58" s="12" t="s">
        <v>464</v>
      </c>
      <c r="N58" s="12" t="s">
        <v>465</v>
      </c>
      <c r="O58" s="13"/>
      <c r="P58" s="12" t="s">
        <v>466</v>
      </c>
      <c r="Q58" s="13"/>
      <c r="R58" s="13"/>
      <c r="S58" s="12" t="s">
        <v>435</v>
      </c>
      <c r="T58" s="12" t="s">
        <v>436</v>
      </c>
      <c r="U58" s="12" t="s">
        <v>467</v>
      </c>
      <c r="V58" s="12" t="s">
        <v>40</v>
      </c>
      <c r="W58" s="13"/>
      <c r="X58" s="12">
        <v>5.6184389E9</v>
      </c>
      <c r="Y58" s="12">
        <v>7.024854135E9</v>
      </c>
      <c r="Z58" s="12" t="s">
        <v>468</v>
      </c>
      <c r="AA58" s="12" t="s">
        <v>469</v>
      </c>
      <c r="AB58" s="13"/>
      <c r="AC58" s="13"/>
      <c r="AD58" s="12" t="s">
        <v>470</v>
      </c>
      <c r="AE58" s="17">
        <f t="shared" ref="AE58:AE64" si="6">today()</f>
        <v>46061</v>
      </c>
    </row>
    <row r="59">
      <c r="A59" s="11">
        <v>3.6359096E7</v>
      </c>
      <c r="B59" s="12" t="s">
        <v>111</v>
      </c>
      <c r="C59" s="12">
        <v>520.0</v>
      </c>
      <c r="D59" s="13"/>
      <c r="E59" s="13"/>
      <c r="F59" s="12">
        <v>6.8380202E7</v>
      </c>
      <c r="G59" s="14">
        <v>44964.44545138889</v>
      </c>
      <c r="H59" s="13"/>
      <c r="I59" s="12" t="s">
        <v>471</v>
      </c>
      <c r="J59" s="13"/>
      <c r="K59" s="12" t="s">
        <v>472</v>
      </c>
      <c r="L59" s="13"/>
      <c r="M59" s="12" t="s">
        <v>114</v>
      </c>
      <c r="N59" s="12" t="s">
        <v>473</v>
      </c>
      <c r="O59" s="13"/>
      <c r="P59" s="12" t="s">
        <v>458</v>
      </c>
      <c r="Q59" s="13"/>
      <c r="R59" s="13"/>
      <c r="S59" s="12" t="s">
        <v>459</v>
      </c>
      <c r="T59" s="12" t="s">
        <v>39</v>
      </c>
      <c r="U59" s="12">
        <v>93021.0</v>
      </c>
      <c r="V59" s="12" t="s">
        <v>40</v>
      </c>
      <c r="W59" s="13"/>
      <c r="X59" s="12" t="s">
        <v>460</v>
      </c>
      <c r="Y59" s="13"/>
      <c r="Z59" s="12"/>
      <c r="AA59" s="12" t="s">
        <v>474</v>
      </c>
      <c r="AB59" s="18"/>
      <c r="AC59" s="13"/>
      <c r="AD59" s="12" t="s">
        <v>475</v>
      </c>
      <c r="AE59" s="17">
        <f t="shared" si="6"/>
        <v>46061</v>
      </c>
    </row>
    <row r="60">
      <c r="A60" s="11">
        <v>3.6358828E7</v>
      </c>
      <c r="B60" s="12" t="s">
        <v>173</v>
      </c>
      <c r="C60" s="12">
        <v>520.0</v>
      </c>
      <c r="D60" s="13"/>
      <c r="E60" s="13"/>
      <c r="F60" s="12">
        <v>6.8201834E7</v>
      </c>
      <c r="G60" s="14">
        <v>44964.44221064815</v>
      </c>
      <c r="H60" s="13"/>
      <c r="I60" s="12" t="s">
        <v>476</v>
      </c>
      <c r="J60" s="13"/>
      <c r="K60" s="12" t="s">
        <v>477</v>
      </c>
      <c r="L60" s="13"/>
      <c r="M60" s="12" t="s">
        <v>478</v>
      </c>
      <c r="N60" s="12" t="s">
        <v>479</v>
      </c>
      <c r="O60" s="13"/>
      <c r="P60" s="12" t="s">
        <v>480</v>
      </c>
      <c r="Q60" s="13"/>
      <c r="R60" s="13"/>
      <c r="S60" s="12" t="s">
        <v>481</v>
      </c>
      <c r="T60" s="12" t="s">
        <v>218</v>
      </c>
      <c r="U60" s="12">
        <v>85204.0</v>
      </c>
      <c r="V60" s="12" t="s">
        <v>40</v>
      </c>
      <c r="W60" s="13"/>
      <c r="X60" s="12">
        <v>9.496066067E9</v>
      </c>
      <c r="Y60" s="12">
        <v>9.496066067E9</v>
      </c>
      <c r="Z60" s="13"/>
      <c r="AA60" s="12" t="s">
        <v>482</v>
      </c>
      <c r="AB60" s="13"/>
      <c r="AC60" s="13"/>
      <c r="AD60" s="12" t="s">
        <v>483</v>
      </c>
      <c r="AE60" s="17">
        <f t="shared" si="6"/>
        <v>46061</v>
      </c>
    </row>
    <row r="61">
      <c r="A61" s="11">
        <v>3.6358339E7</v>
      </c>
      <c r="B61" s="12" t="s">
        <v>173</v>
      </c>
      <c r="C61" s="12">
        <v>520.0</v>
      </c>
      <c r="D61" s="13"/>
      <c r="E61" s="12" t="s">
        <v>326</v>
      </c>
      <c r="F61" s="12">
        <v>6.8248829E7</v>
      </c>
      <c r="G61" s="14">
        <v>44964.438113425924</v>
      </c>
      <c r="H61" s="13"/>
      <c r="I61" s="12" t="s">
        <v>484</v>
      </c>
      <c r="J61" s="13"/>
      <c r="K61" s="12" t="s">
        <v>485</v>
      </c>
      <c r="L61" s="13"/>
      <c r="M61" s="12" t="s">
        <v>486</v>
      </c>
      <c r="N61" s="12" t="s">
        <v>487</v>
      </c>
      <c r="O61" s="13"/>
      <c r="P61" s="12" t="s">
        <v>488</v>
      </c>
      <c r="Q61" s="13"/>
      <c r="R61" s="13"/>
      <c r="S61" s="12" t="s">
        <v>489</v>
      </c>
      <c r="T61" s="12" t="s">
        <v>490</v>
      </c>
      <c r="U61" s="12">
        <v>37876.0</v>
      </c>
      <c r="V61" s="12" t="s">
        <v>40</v>
      </c>
      <c r="W61" s="13"/>
      <c r="X61" s="12">
        <v>4.782938243E9</v>
      </c>
      <c r="Y61" s="12">
        <v>4.782938243E9</v>
      </c>
      <c r="Z61" s="13"/>
      <c r="AA61" s="12" t="s">
        <v>491</v>
      </c>
      <c r="AB61" s="13"/>
      <c r="AC61" s="13"/>
      <c r="AD61" s="12" t="s">
        <v>492</v>
      </c>
      <c r="AE61" s="17">
        <f t="shared" si="6"/>
        <v>46061</v>
      </c>
    </row>
    <row r="62">
      <c r="A62" s="11">
        <v>3.6358238E7</v>
      </c>
      <c r="B62" s="12" t="s">
        <v>173</v>
      </c>
      <c r="C62" s="12">
        <v>520.0</v>
      </c>
      <c r="D62" s="13"/>
      <c r="E62" s="12" t="s">
        <v>326</v>
      </c>
      <c r="F62" s="12">
        <v>6.8248871E7</v>
      </c>
      <c r="G62" s="14">
        <v>44964.43797453704</v>
      </c>
      <c r="H62" s="13"/>
      <c r="I62" s="12" t="s">
        <v>422</v>
      </c>
      <c r="J62" s="13"/>
      <c r="K62" s="12" t="s">
        <v>493</v>
      </c>
      <c r="L62" s="13"/>
      <c r="M62" s="12" t="s">
        <v>494</v>
      </c>
      <c r="N62" s="12" t="s">
        <v>487</v>
      </c>
      <c r="O62" s="13"/>
      <c r="P62" s="12" t="s">
        <v>488</v>
      </c>
      <c r="Q62" s="13"/>
      <c r="R62" s="13"/>
      <c r="S62" s="12" t="s">
        <v>489</v>
      </c>
      <c r="T62" s="12" t="s">
        <v>490</v>
      </c>
      <c r="U62" s="12">
        <v>37876.0</v>
      </c>
      <c r="V62" s="12" t="s">
        <v>40</v>
      </c>
      <c r="W62" s="13"/>
      <c r="X62" s="12">
        <v>6.202499424E9</v>
      </c>
      <c r="Y62" s="12">
        <v>4.782938243E9</v>
      </c>
      <c r="Z62" s="12"/>
      <c r="AA62" s="12" t="s">
        <v>495</v>
      </c>
      <c r="AB62" s="13"/>
      <c r="AC62" s="13"/>
      <c r="AD62" s="12" t="s">
        <v>496</v>
      </c>
      <c r="AE62" s="17">
        <f t="shared" si="6"/>
        <v>46061</v>
      </c>
    </row>
    <row r="63">
      <c r="A63" s="11">
        <v>3.6356426E7</v>
      </c>
      <c r="B63" s="12" t="s">
        <v>111</v>
      </c>
      <c r="C63" s="12">
        <v>520.0</v>
      </c>
      <c r="D63" s="13"/>
      <c r="E63" s="12" t="s">
        <v>326</v>
      </c>
      <c r="F63" s="12">
        <v>6.8570955E7</v>
      </c>
      <c r="G63" s="14">
        <v>44964.41725694444</v>
      </c>
      <c r="H63" s="13"/>
      <c r="I63" s="12" t="s">
        <v>497</v>
      </c>
      <c r="J63" s="13"/>
      <c r="K63" s="12" t="s">
        <v>498</v>
      </c>
      <c r="L63" s="13"/>
      <c r="M63" s="12" t="s">
        <v>499</v>
      </c>
      <c r="N63" s="12" t="s">
        <v>500</v>
      </c>
      <c r="O63" s="13"/>
      <c r="P63" s="12" t="s">
        <v>501</v>
      </c>
      <c r="Q63" s="13"/>
      <c r="R63" s="13"/>
      <c r="S63" s="12" t="s">
        <v>367</v>
      </c>
      <c r="T63" s="12" t="s">
        <v>39</v>
      </c>
      <c r="U63" s="12">
        <v>92008.0</v>
      </c>
      <c r="V63" s="12" t="s">
        <v>40</v>
      </c>
      <c r="W63" s="13"/>
      <c r="X63" s="12" t="s">
        <v>502</v>
      </c>
      <c r="Y63" s="13"/>
      <c r="Z63" s="13"/>
      <c r="AA63" s="12" t="s">
        <v>503</v>
      </c>
      <c r="AB63" s="18"/>
      <c r="AC63" s="13"/>
      <c r="AD63" s="12" t="s">
        <v>504</v>
      </c>
      <c r="AE63" s="17">
        <f t="shared" si="6"/>
        <v>46061</v>
      </c>
    </row>
    <row r="64">
      <c r="A64" s="11">
        <v>3.635638E7</v>
      </c>
      <c r="B64" s="12" t="s">
        <v>111</v>
      </c>
      <c r="C64" s="12">
        <v>520.0</v>
      </c>
      <c r="D64" s="13"/>
      <c r="E64" s="13"/>
      <c r="F64" s="12">
        <v>6.8827263E7</v>
      </c>
      <c r="G64" s="14">
        <v>44964.416354166664</v>
      </c>
      <c r="H64" s="13"/>
      <c r="I64" s="12" t="s">
        <v>505</v>
      </c>
      <c r="J64" s="13"/>
      <c r="K64" s="12" t="s">
        <v>506</v>
      </c>
      <c r="L64" s="13"/>
      <c r="M64" s="12" t="s">
        <v>114</v>
      </c>
      <c r="N64" s="12" t="s">
        <v>507</v>
      </c>
      <c r="O64" s="13"/>
      <c r="P64" s="12" t="s">
        <v>508</v>
      </c>
      <c r="Q64" s="13"/>
      <c r="R64" s="13"/>
      <c r="S64" s="12" t="s">
        <v>509</v>
      </c>
      <c r="T64" s="12" t="s">
        <v>92</v>
      </c>
      <c r="U64" s="12">
        <v>11367.0</v>
      </c>
      <c r="V64" s="12" t="s">
        <v>40</v>
      </c>
      <c r="W64" s="13"/>
      <c r="X64" s="12">
        <v>9.173497573E9</v>
      </c>
      <c r="Y64" s="12">
        <v>9.172547809E9</v>
      </c>
      <c r="Z64" s="13"/>
      <c r="AA64" s="12" t="s">
        <v>510</v>
      </c>
      <c r="AB64" s="18"/>
      <c r="AC64" s="13"/>
      <c r="AD64" s="12" t="s">
        <v>511</v>
      </c>
      <c r="AE64" s="17">
        <f t="shared" si="6"/>
        <v>46061</v>
      </c>
    </row>
    <row r="65">
      <c r="A65" s="11">
        <v>3.6356169E7</v>
      </c>
      <c r="B65" s="12" t="s">
        <v>111</v>
      </c>
      <c r="C65" s="12">
        <v>520.0</v>
      </c>
      <c r="D65" s="13"/>
      <c r="E65" s="13"/>
      <c r="F65" s="12">
        <v>6.9031343E7</v>
      </c>
      <c r="G65" s="14">
        <v>44964.41226851852</v>
      </c>
      <c r="H65" s="13"/>
      <c r="I65" s="12" t="s">
        <v>173</v>
      </c>
      <c r="J65" s="13"/>
      <c r="K65" s="12" t="s">
        <v>512</v>
      </c>
      <c r="L65" s="13"/>
      <c r="M65" s="12" t="s">
        <v>513</v>
      </c>
      <c r="N65" s="12" t="s">
        <v>206</v>
      </c>
      <c r="O65" s="13"/>
      <c r="P65" s="13"/>
      <c r="Q65" s="13"/>
      <c r="R65" s="13"/>
      <c r="S65" s="13"/>
      <c r="T65" s="13"/>
      <c r="U65" s="13"/>
      <c r="V65" s="13"/>
      <c r="W65" s="13"/>
      <c r="X65" s="13"/>
      <c r="Y65" s="13"/>
      <c r="Z65" s="13"/>
      <c r="AA65" s="12" t="s">
        <v>514</v>
      </c>
      <c r="AB65" s="18"/>
      <c r="AC65" s="13"/>
      <c r="AD65" s="13"/>
      <c r="AE65" s="17">
        <v>44964.75622685185</v>
      </c>
    </row>
    <row r="66">
      <c r="A66" s="11">
        <v>3.6355737E7</v>
      </c>
      <c r="B66" s="12" t="s">
        <v>111</v>
      </c>
      <c r="C66" s="12">
        <v>520.0</v>
      </c>
      <c r="D66" s="13"/>
      <c r="E66" s="12" t="s">
        <v>326</v>
      </c>
      <c r="F66" s="12">
        <v>6.8465714E7</v>
      </c>
      <c r="G66" s="14">
        <v>44964.402766203704</v>
      </c>
      <c r="H66" s="13"/>
      <c r="I66" s="12" t="s">
        <v>148</v>
      </c>
      <c r="J66" s="13"/>
      <c r="K66" s="12" t="s">
        <v>515</v>
      </c>
      <c r="L66" s="13"/>
      <c r="M66" s="12" t="s">
        <v>516</v>
      </c>
      <c r="N66" s="12" t="s">
        <v>517</v>
      </c>
      <c r="O66" s="13"/>
      <c r="P66" s="12" t="s">
        <v>518</v>
      </c>
      <c r="Q66" s="12" t="s">
        <v>519</v>
      </c>
      <c r="R66" s="13"/>
      <c r="S66" s="12" t="s">
        <v>520</v>
      </c>
      <c r="T66" s="12" t="s">
        <v>521</v>
      </c>
      <c r="U66" s="12">
        <v>46285.0</v>
      </c>
      <c r="V66" s="12" t="s">
        <v>40</v>
      </c>
      <c r="W66" s="13"/>
      <c r="X66" s="12">
        <v>3.176465226E9</v>
      </c>
      <c r="Y66" s="13"/>
      <c r="Z66" s="13"/>
      <c r="AA66" s="12" t="s">
        <v>522</v>
      </c>
      <c r="AB66" s="18"/>
      <c r="AC66" s="13"/>
      <c r="AD66" s="12" t="s">
        <v>523</v>
      </c>
      <c r="AE66" s="17">
        <f>TODAY()</f>
        <v>46061</v>
      </c>
    </row>
    <row r="67">
      <c r="A67" s="22">
        <v>3.6355719E7</v>
      </c>
      <c r="B67" s="23" t="s">
        <v>111</v>
      </c>
      <c r="C67" s="23">
        <v>520.0</v>
      </c>
      <c r="D67" s="24"/>
      <c r="E67" s="23" t="s">
        <v>326</v>
      </c>
      <c r="F67" s="23">
        <v>6.8465386E7</v>
      </c>
      <c r="G67" s="25">
        <v>44964.4025</v>
      </c>
      <c r="H67" s="24"/>
      <c r="I67" s="23" t="s">
        <v>524</v>
      </c>
      <c r="J67" s="24"/>
      <c r="K67" s="23" t="s">
        <v>525</v>
      </c>
      <c r="L67" s="24"/>
      <c r="M67" s="23" t="s">
        <v>526</v>
      </c>
      <c r="N67" s="23" t="s">
        <v>517</v>
      </c>
      <c r="O67" s="24"/>
      <c r="P67" s="23" t="s">
        <v>518</v>
      </c>
      <c r="Q67" s="23" t="s">
        <v>519</v>
      </c>
      <c r="R67" s="24"/>
      <c r="S67" s="23" t="s">
        <v>520</v>
      </c>
      <c r="T67" s="23" t="s">
        <v>521</v>
      </c>
      <c r="U67" s="23">
        <v>46285.0</v>
      </c>
      <c r="V67" s="23" t="s">
        <v>40</v>
      </c>
      <c r="W67" s="24"/>
      <c r="X67" s="23">
        <v>3.179143103E9</v>
      </c>
      <c r="Y67" s="24"/>
      <c r="Z67" s="24"/>
      <c r="AA67" s="26" t="s">
        <v>527</v>
      </c>
      <c r="AB67" s="15" t="s">
        <v>53</v>
      </c>
      <c r="AC67" s="24"/>
      <c r="AD67" s="23" t="s">
        <v>528</v>
      </c>
      <c r="AE67" s="27">
        <f>today()</f>
        <v>46061</v>
      </c>
    </row>
  </sheetData>
  <mergeCells count="2">
    <mergeCell ref="A1:AE1"/>
    <mergeCell ref="A2:AE2"/>
  </mergeCells>
  <hyperlinks>
    <hyperlink r:id="rId1" ref="AA67"/>
  </hyperlinks>
  <drawing r:id="rId2"/>
</worksheet>
</file>